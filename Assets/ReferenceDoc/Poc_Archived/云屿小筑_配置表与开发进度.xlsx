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2.xml" ContentType="application/vnd.openxmlformats-officedocument.spreadsheetml.comment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vmlDrawing1.vml" ContentType="application/vnd.openxmlformats-officedocument.vmlDrawing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校验" sheetId="2" state="visible" r:id="rId4"/>
    <sheet name="开发进度" sheetId="3" state="visible" r:id="rId5"/>
    <sheet name="Global" sheetId="4" state="visible" r:id="rId6"/>
    <sheet name="Item" sheetId="5" state="visible" r:id="rId7"/>
    <sheet name="Crop" sheetId="6" state="visible" r:id="rId8"/>
    <sheet name="GatherNode" sheetId="7" state="visible" r:id="rId9"/>
    <sheet name="Tool" sheetId="8" state="visible" r:id="rId10"/>
    <sheet name="Facility" sheetId="9" state="visible" r:id="rId11"/>
    <sheet name="FacilityLevel" sheetId="10" state="visible" r:id="rId12"/>
    <sheet name="Recipe" sheetId="11" state="visible" r:id="rId13"/>
    <sheet name="Level" sheetId="12" state="visible" r:id="rId14"/>
    <sheet name="Plot" sheetId="13" state="visible" r:id="rId15"/>
    <sheet name="OrderRule" sheetId="14" state="visible" r:id="rId16"/>
    <sheet name="OrderCalc" sheetId="15" state="visible" r:id="rId17"/>
    <sheet name="Furniture" sheetId="16" state="visible" r:id="rId18"/>
    <sheet name="AvatarItem" sheetId="17" state="visible" r:id="rId19"/>
    <sheet name="GachaRule" sheetId="18" state="visible" r:id="rId20"/>
    <sheet name="GachaPool" sheetId="19" state="visible" r:id="rId21"/>
    <sheet name="GachaPoolItem" sheetId="20" state="visible" r:id="rId22"/>
    <sheet name="GachaSim" sheetId="21" state="visible" r:id="rId23"/>
    <sheet name="Activity" sheetId="22" state="visible" r:id="rId24"/>
  </sheets>
  <definedNames>
    <definedName function="false" hidden="true" localSheetId="21" name="_xlnm._FilterDatabase" vbProcedure="false">Activity!$A$3:$I$4</definedName>
    <definedName function="false" hidden="true" localSheetId="16" name="_xlnm._FilterDatabase" vbProcedure="false">AvatarItem!$A$3:$H$39</definedName>
    <definedName function="false" hidden="true" localSheetId="5" name="_xlnm._FilterDatabase" vbProcedure="false">Crop!$A$3:$O$10</definedName>
    <definedName function="false" hidden="true" localSheetId="8" name="_xlnm._FilterDatabase" vbProcedure="false">Facility!$A$3:$E$7</definedName>
    <definedName function="false" hidden="true" localSheetId="9" name="_xlnm._FilterDatabase" vbProcedure="false">FacilityLevel!$A$3:$L$6</definedName>
    <definedName function="false" hidden="true" localSheetId="15" name="_xlnm._FilterDatabase" vbProcedure="false">Furniture!$A$3:$I$13</definedName>
    <definedName function="false" hidden="true" localSheetId="18" name="_xlnm._FilterDatabase" vbProcedure="false">GachaPool!$A$3:$F$5</definedName>
    <definedName function="false" hidden="true" localSheetId="19" name="_xlnm._FilterDatabase" vbProcedure="false">GachaPoolItem!$A$3:$G$57</definedName>
    <definedName function="false" hidden="true" localSheetId="17" name="_xlnm._FilterDatabase" vbProcedure="false">GachaRule!$A$3:$C$21</definedName>
    <definedName function="false" hidden="true" localSheetId="6" name="_xlnm._FilterDatabase" vbProcedure="false">GatherNode!$A$3:$O$7</definedName>
    <definedName function="false" hidden="true" localSheetId="3" name="_xlnm._FilterDatabase" vbProcedure="false">Global!$A$3:$C$23</definedName>
    <definedName function="false" hidden="true" localSheetId="4" name="_xlnm._FilterDatabase" vbProcedure="false">Item!$A$3:$H$44</definedName>
    <definedName function="false" hidden="true" localSheetId="13" name="_xlnm._FilterDatabase" vbProcedure="false">OrderRule!$A$3:$C$17</definedName>
    <definedName function="false" hidden="true" localSheetId="12" name="_xlnm._FilterDatabase" vbProcedure="false">Plot!$A$3:$F$9</definedName>
    <definedName function="false" hidden="true" localSheetId="10" name="_xlnm._FilterDatabase" vbProcedure="false">Recipe!$A$3:$P$14</definedName>
    <definedName function="false" hidden="true" localSheetId="7" name="_xlnm._FilterDatabase" vbProcedure="false">Tool!$A$3:$K$12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Noto Sans CJK SC"/>
            <family val="2"/>
          </rPr>
          <t xml:space="preserve">留空：开始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结束时间由服务端（</t>
        </r>
        <r>
          <rPr>
            <sz val="10"/>
            <rFont val="Arial"/>
            <family val="2"/>
          </rPr>
          <t xml:space="preserve">GM </t>
        </r>
        <r>
          <rPr>
            <sz val="10"/>
            <rFont val="Noto Sans CJK SC"/>
            <family val="2"/>
          </rPr>
          <t xml:space="preserve">指令 </t>
        </r>
        <r>
          <rPr>
            <sz val="10"/>
            <rFont val="Arial"/>
            <family val="2"/>
          </rPr>
          <t xml:space="preserve">open_activity </t>
        </r>
        <r>
          <rPr>
            <sz val="10"/>
            <rFont val="Noto Sans CJK SC"/>
            <family val="2"/>
          </rPr>
          <t xml:space="preserve">或后台）配置，客户端不得用本地时间判断。</t>
        </r>
      </text>
    </comment>
  </commentList>
</comments>
</file>

<file path=xl/sharedStrings.xml><?xml version="1.0" encoding="utf-8"?>
<sst xmlns="http://schemas.openxmlformats.org/spreadsheetml/2006/main" count="1394" uniqueCount="747">
  <si>
    <r>
      <rPr>
        <b val="true"/>
        <sz val="14"/>
        <color rgb="FF1F3A5F"/>
        <rFont val="Noto Sans CJK SC"/>
        <family val="2"/>
      </rPr>
      <t xml:space="preserve">云屿小筑 </t>
    </r>
    <r>
      <rPr>
        <b val="true"/>
        <sz val="14"/>
        <color rgb="FF1F3A5F"/>
        <rFont val="Arial"/>
        <family val="0"/>
        <charset val="1"/>
      </rPr>
      <t xml:space="preserve">· </t>
    </r>
    <r>
      <rPr>
        <b val="true"/>
        <sz val="14"/>
        <color rgb="FF1F3A5F"/>
        <rFont val="Noto Sans CJK SC"/>
        <family val="2"/>
      </rPr>
      <t xml:space="preserve">配置表与开发进度</t>
    </r>
  </si>
  <si>
    <r>
      <rPr>
        <i val="true"/>
        <sz val="9"/>
        <color rgb="FF595959"/>
        <rFont val="Noto Sans CJK SC"/>
        <family val="2"/>
      </rPr>
      <t xml:space="preserve">数据源：</t>
    </r>
    <r>
      <rPr>
        <i val="true"/>
        <sz val="9"/>
        <color rgb="FF595959"/>
        <rFont val="Arial"/>
        <family val="0"/>
        <charset val="1"/>
      </rPr>
      <t xml:space="preserve">03_</t>
    </r>
    <r>
      <rPr>
        <i val="true"/>
        <sz val="9"/>
        <color rgb="FF595959"/>
        <rFont val="Noto Sans CJK SC"/>
        <family val="2"/>
      </rPr>
      <t xml:space="preserve">数值与配置表</t>
    </r>
    <r>
      <rPr>
        <i val="true"/>
        <sz val="9"/>
        <color rgb="FF595959"/>
        <rFont val="Arial"/>
        <family val="0"/>
        <charset val="1"/>
      </rPr>
      <t xml:space="preserve">.md</t>
    </r>
    <r>
      <rPr>
        <i val="true"/>
        <sz val="9"/>
        <color rgb="FF595959"/>
        <rFont val="Noto Sans CJK SC"/>
        <family val="2"/>
      </rPr>
      <t xml:space="preserve">、</t>
    </r>
    <r>
      <rPr>
        <i val="true"/>
        <sz val="9"/>
        <color rgb="FF595959"/>
        <rFont val="Arial"/>
        <family val="0"/>
        <charset val="1"/>
      </rPr>
      <t xml:space="preserve">06_</t>
    </r>
    <r>
      <rPr>
        <i val="true"/>
        <sz val="9"/>
        <color rgb="FF595959"/>
        <rFont val="Noto Sans CJK SC"/>
        <family val="2"/>
      </rPr>
      <t xml:space="preserve">开发计划</t>
    </r>
    <r>
      <rPr>
        <i val="true"/>
        <sz val="9"/>
        <color rgb="FF595959"/>
        <rFont val="Arial"/>
        <family val="0"/>
        <charset val="1"/>
      </rPr>
      <t xml:space="preserve">.md</t>
    </r>
    <r>
      <rPr>
        <i val="true"/>
        <sz val="9"/>
        <color rgb="FF595959"/>
        <rFont val="Noto Sans CJK SC"/>
        <family val="2"/>
      </rPr>
      <t xml:space="preserve">。本工作簿是它们的可计算版本（带公式校验）。</t>
    </r>
  </si>
  <si>
    <t xml:space="preserve">工作表索引</t>
  </si>
  <si>
    <t xml:space="preserve">工作表</t>
  </si>
  <si>
    <t xml:space="preserve">类型</t>
  </si>
  <si>
    <t xml:space="preserve">内容</t>
  </si>
  <si>
    <t xml:space="preserve">校验</t>
  </si>
  <si>
    <t xml:space="preserve">计算</t>
  </si>
  <si>
    <t xml:space="preserve">配置一致性与计划校验（引用完整性、概率、订单示例、计划容量）</t>
  </si>
  <si>
    <t xml:space="preserve">开发进度</t>
  </si>
  <si>
    <t xml:space="preserve">管理</t>
  </si>
  <si>
    <r>
      <rPr>
        <sz val="10"/>
        <rFont val="Noto Sans CJK SC"/>
        <family val="2"/>
      </rPr>
      <t xml:space="preserve">里程碑日期与工时、</t>
    </r>
    <r>
      <rPr>
        <sz val="10"/>
        <rFont val="Arial"/>
        <family val="0"/>
        <charset val="1"/>
      </rPr>
      <t xml:space="preserve">P0 </t>
    </r>
    <r>
      <rPr>
        <sz val="10"/>
        <rFont val="Noto Sans CJK SC"/>
        <family val="2"/>
      </rPr>
      <t xml:space="preserve">功能完成度、作品集交付物看板</t>
    </r>
  </si>
  <si>
    <t xml:space="preserve">Global</t>
  </si>
  <si>
    <t xml:space="preserve">配置</t>
  </si>
  <si>
    <t xml:space="preserve">全局常量</t>
  </si>
  <si>
    <t xml:space="preserve">Item</t>
  </si>
  <si>
    <r>
      <rPr>
        <sz val="10"/>
        <rFont val="Noto Sans CJK SC"/>
        <family val="2"/>
      </rPr>
      <t xml:space="preserve">物品总表（作物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种子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加工品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采集物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工具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货币）</t>
    </r>
  </si>
  <si>
    <t xml:space="preserve">Crop</t>
  </si>
  <si>
    <t xml:space="preserve">作物（含每小时净收益计算列）</t>
  </si>
  <si>
    <t xml:space="preserve">GatherNode</t>
  </si>
  <si>
    <t xml:space="preserve">采集点（含单次期望价值）</t>
  </si>
  <si>
    <t xml:space="preserve">Tool</t>
  </si>
  <si>
    <t xml:space="preserve">工具升级</t>
  </si>
  <si>
    <t xml:space="preserve">Facility</t>
  </si>
  <si>
    <t xml:space="preserve">加工设施</t>
  </si>
  <si>
    <t xml:space="preserve">FacilityLevel</t>
  </si>
  <si>
    <r>
      <rPr>
        <sz val="10"/>
        <rFont val="Noto Sans CJK SC"/>
        <family val="2"/>
      </rPr>
      <t xml:space="preserve">设施升级（槽位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速度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成本）</t>
    </r>
  </si>
  <si>
    <t xml:space="preserve">Recipe</t>
  </si>
  <si>
    <t xml:space="preserve">配方（含增值倍率计算列）</t>
  </si>
  <si>
    <t xml:space="preserve">Level</t>
  </si>
  <si>
    <r>
      <rPr>
        <sz val="10"/>
        <rFont val="Noto Sans CJK SC"/>
        <family val="2"/>
      </rPr>
      <t xml:space="preserve">等级经验（公式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可调参数）</t>
    </r>
  </si>
  <si>
    <t xml:space="preserve">Plot</t>
  </si>
  <si>
    <t xml:space="preserve">地块解锁</t>
  </si>
  <si>
    <t xml:space="preserve">OrderRule</t>
  </si>
  <si>
    <t xml:space="preserve">订单规则与奖励参数</t>
  </si>
  <si>
    <t xml:space="preserve">OrderCalc</t>
  </si>
  <si>
    <t xml:space="preserve">订单奖励计算器（可自行追加行）</t>
  </si>
  <si>
    <t xml:space="preserve">Furniture</t>
  </si>
  <si>
    <t xml:space="preserve">家具</t>
  </si>
  <si>
    <t xml:space="preserve">AvatarItem</t>
  </si>
  <si>
    <r>
      <rPr>
        <sz val="10"/>
        <rFont val="Noto Sans CJK SC"/>
        <family val="2"/>
      </rPr>
      <t xml:space="preserve">外观（常驻 </t>
    </r>
    <r>
      <rPr>
        <sz val="10"/>
        <rFont val="Arial"/>
        <family val="0"/>
        <charset val="1"/>
      </rPr>
      <t xml:space="preserve">30 + </t>
    </r>
    <r>
      <rPr>
        <sz val="10"/>
        <rFont val="Noto Sans CJK SC"/>
        <family val="2"/>
      </rPr>
      <t xml:space="preserve">限时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）</t>
    </r>
  </si>
  <si>
    <t xml:space="preserve">GachaRule</t>
  </si>
  <si>
    <t xml:space="preserve">抽卡通用规则</t>
  </si>
  <si>
    <t xml:space="preserve">GachaPool</t>
  </si>
  <si>
    <t xml:space="preserve">卡池</t>
  </si>
  <si>
    <t xml:space="preserve">GachaPoolItem</t>
  </si>
  <si>
    <t xml:space="preserve">奖池内容与权重（含组内占比）</t>
  </si>
  <si>
    <t xml:space="preserve">GachaSim</t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</si>
  <si>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保底概率模型（公式逐抽计算）</t>
    </r>
  </si>
  <si>
    <t xml:space="preserve">Activity</t>
  </si>
  <si>
    <t xml:space="preserve">活动</t>
  </si>
  <si>
    <t xml:space="preserve">约定</t>
  </si>
  <si>
    <t xml:space="preserve">颜色</t>
  </si>
  <si>
    <r>
      <rPr>
        <sz val="10"/>
        <rFont val="Noto Sans CJK SC"/>
        <family val="2"/>
      </rPr>
      <t xml:space="preserve">蓝色字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写死的数值输入；黑色字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公式；绿色字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引用其他工作表的公式；黄色底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可编辑的参数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状态；灰色底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计算列。</t>
    </r>
  </si>
  <si>
    <t xml:space="preserve">表头</t>
  </si>
  <si>
    <r>
      <rPr>
        <sz val="10"/>
        <rFont val="Noto Sans CJK SC"/>
        <family val="2"/>
      </rPr>
      <t xml:space="preserve">配置表前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行为：字段名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类型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中文注释，数据从第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行开始，可直接交给导表工具。</t>
    </r>
  </si>
  <si>
    <t xml:space="preserve">计算列</t>
  </si>
  <si>
    <r>
      <rPr>
        <sz val="10"/>
        <rFont val="Noto Sans CJK SC"/>
        <family val="2"/>
      </rPr>
      <t xml:space="preserve">字段名以 </t>
    </r>
    <r>
      <rPr>
        <sz val="10"/>
        <rFont val="Arial"/>
        <family val="0"/>
        <charset val="1"/>
      </rPr>
      <t xml:space="preserve"># </t>
    </r>
    <r>
      <rPr>
        <sz val="10"/>
        <rFont val="Noto Sans CJK SC"/>
        <family val="2"/>
      </rPr>
      <t xml:space="preserve">开头的列是校验用计算列，导表时应忽略。</t>
    </r>
  </si>
  <si>
    <t xml:space="preserve">列表字段</t>
  </si>
  <si>
    <r>
      <rPr>
        <sz val="10"/>
        <rFont val="Arial"/>
        <family val="0"/>
        <charset val="1"/>
      </rPr>
      <t xml:space="preserve">Recipe / Tool / FacilityLevel </t>
    </r>
    <r>
      <rPr>
        <sz val="10"/>
        <rFont val="Noto Sans CJK SC"/>
        <family val="2"/>
      </rPr>
      <t xml:space="preserve">的材料拆成 </t>
    </r>
    <r>
      <rPr>
        <sz val="10"/>
        <rFont val="Arial"/>
        <family val="0"/>
        <charset val="1"/>
      </rPr>
      <t xml:space="preserve">in1 / in2 / mat1~3 </t>
    </r>
    <r>
      <rPr>
        <sz val="10"/>
        <rFont val="Noto Sans CJK SC"/>
        <family val="2"/>
      </rPr>
      <t xml:space="preserve">等列，便于公式；与 </t>
    </r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文档第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</rPr>
      <t xml:space="preserve">节的“</t>
    </r>
    <r>
      <rPr>
        <sz val="10"/>
        <rFont val="Arial"/>
        <family val="0"/>
        <charset val="1"/>
      </rPr>
      <t xml:space="preserve">;”</t>
    </r>
    <r>
      <rPr>
        <sz val="10"/>
        <rFont val="Noto Sans CJK SC"/>
        <family val="2"/>
      </rPr>
      <t xml:space="preserve">列表写法等价。</t>
    </r>
  </si>
  <si>
    <t xml:space="preserve">时间与金额</t>
  </si>
  <si>
    <r>
      <rPr>
        <sz val="10"/>
        <rFont val="Noto Sans CJK SC"/>
        <family val="2"/>
      </rPr>
      <t xml:space="preserve">时间单位为秒，金额单位为金币（</t>
    </r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）；活动开始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结束时间由服务端配置，表中留空。</t>
    </r>
  </si>
  <si>
    <t xml:space="preserve">假设与已知偏差</t>
  </si>
  <si>
    <r>
      <rPr>
        <b val="true"/>
        <sz val="10"/>
        <rFont val="Noto Sans CJK SC"/>
        <family val="2"/>
      </rPr>
      <t xml:space="preserve">假设 </t>
    </r>
    <r>
      <rPr>
        <b val="true"/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</si>
  <si>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Item.unlockLevel</t>
    </r>
    <r>
      <rPr>
        <sz val="10"/>
        <rFont val="Noto Sans CJK SC"/>
        <family val="2"/>
      </rPr>
      <t xml:space="preserve">：肥料（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）、斧头（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）、镐（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）、采集篮（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）、货币（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）在 </t>
    </r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文档中未明确，此处为假设值。</t>
    </r>
  </si>
  <si>
    <r>
      <rPr>
        <b val="true"/>
        <sz val="10"/>
        <rFont val="Noto Sans CJK SC"/>
        <family val="2"/>
      </rPr>
      <t xml:space="preserve">假设 </t>
    </r>
    <r>
      <rPr>
        <b val="true"/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</si>
  <si>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Item.sellPrice = 0 </t>
    </r>
    <r>
      <rPr>
        <sz val="10"/>
        <rFont val="Noto Sans CJK SC"/>
        <family val="2"/>
      </rPr>
      <t xml:space="preserve">表示不可出售（种子、工具、货币、肥料）；</t>
    </r>
    <r>
      <rPr>
        <sz val="10"/>
        <rFont val="Arial"/>
        <family val="0"/>
        <charset val="1"/>
      </rPr>
      <t xml:space="preserve">buyPrice = 0 </t>
    </r>
    <r>
      <rPr>
        <sz val="10"/>
        <rFont val="Noto Sans CJK SC"/>
        <family val="2"/>
      </rPr>
      <t xml:space="preserve">表示不在商店出售。</t>
    </r>
  </si>
  <si>
    <r>
      <rPr>
        <b val="true"/>
        <sz val="10"/>
        <rFont val="Noto Sans CJK SC"/>
        <family val="2"/>
      </rPr>
      <t xml:space="preserve">假设 </t>
    </r>
    <r>
      <rPr>
        <b val="true"/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</si>
  <si>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Tool </t>
    </r>
    <r>
      <rPr>
        <sz val="10"/>
        <rFont val="Noto Sans CJK SC"/>
        <family val="2"/>
      </rPr>
      <t xml:space="preserve">表按“每种工具 </t>
    </r>
    <r>
      <rPr>
        <sz val="10"/>
        <rFont val="Arial"/>
        <family val="0"/>
        <charset val="1"/>
      </rPr>
      <t xml:space="preserve">× 3 </t>
    </r>
    <r>
      <rPr>
        <sz val="10"/>
        <rFont val="Noto Sans CJK SC"/>
        <family val="2"/>
      </rPr>
      <t xml:space="preserve">个等级”展开 </t>
    </r>
    <r>
      <rPr>
        <sz val="10"/>
        <rFont val="Arial"/>
        <family val="0"/>
        <charset val="1"/>
      </rPr>
      <t xml:space="preserve">9 </t>
    </r>
    <r>
      <rPr>
        <sz val="10"/>
        <rFont val="Noto Sans CJK SC"/>
        <family val="2"/>
      </rPr>
      <t xml:space="preserve">行（</t>
    </r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文档仅给出通用规则，三种工具规则相同）。</t>
    </r>
  </si>
  <si>
    <r>
      <rPr>
        <b val="true"/>
        <sz val="10"/>
        <rFont val="Noto Sans CJK SC"/>
        <family val="2"/>
      </rPr>
      <t xml:space="preserve">偏差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</si>
  <si>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偏差 </t>
    </r>
    <r>
      <rPr>
        <b val="true"/>
        <sz val="10"/>
        <rFont val="Arial"/>
        <family val="0"/>
        <charset val="1"/>
      </rPr>
      <t xml:space="preserve">2</t>
    </r>
  </si>
  <si>
    <t xml:space="preserve">配置一致性与计划校验</t>
  </si>
  <si>
    <r>
      <rPr>
        <i val="true"/>
        <sz val="9"/>
        <color rgb="FF595959"/>
        <rFont val="Noto Sans CJK SC"/>
        <family val="2"/>
      </rPr>
      <t xml:space="preserve">全部为公式；状态列 </t>
    </r>
    <r>
      <rPr>
        <i val="true"/>
        <sz val="9"/>
        <color rgb="FF595959"/>
        <rFont val="Arial"/>
        <family val="0"/>
        <charset val="1"/>
      </rPr>
      <t xml:space="preserve">OK = </t>
    </r>
    <r>
      <rPr>
        <i val="true"/>
        <sz val="9"/>
        <color rgb="FF595959"/>
        <rFont val="Noto Sans CJK SC"/>
        <family val="2"/>
      </rPr>
      <t xml:space="preserve">与文档（</t>
    </r>
    <r>
      <rPr>
        <i val="true"/>
        <sz val="9"/>
        <color rgb="FF595959"/>
        <rFont val="Arial"/>
        <family val="0"/>
        <charset val="1"/>
      </rPr>
      <t xml:space="preserve">03 / 06</t>
    </r>
    <r>
      <rPr>
        <i val="true"/>
        <sz val="9"/>
        <color rgb="FF595959"/>
        <rFont val="Noto Sans CJK SC"/>
        <family val="2"/>
      </rPr>
      <t xml:space="preserve">）一致。蓝色“期望值”来自文档，改配置后可立即看到偏差。</t>
    </r>
  </si>
  <si>
    <t xml:space="preserve">检查项</t>
  </si>
  <si>
    <t xml:space="preserve">期望值</t>
  </si>
  <si>
    <t xml:space="preserve">实际值</t>
  </si>
  <si>
    <t xml:space="preserve">状态</t>
  </si>
  <si>
    <r>
      <rPr>
        <b val="true"/>
        <sz val="10"/>
        <color rgb="FFFFFFFF"/>
        <rFont val="Noto Sans CJK SC"/>
        <family val="2"/>
      </rPr>
      <t xml:space="preserve">说明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来源</t>
    </r>
  </si>
  <si>
    <t xml:space="preserve">稀有度基础概率之和</t>
  </si>
  <si>
    <r>
      <rPr>
        <sz val="10"/>
        <rFont val="Arial"/>
        <family val="0"/>
        <charset val="1"/>
      </rPr>
      <t xml:space="preserve">03 §11.1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SSR+SR+R+N = 100%</t>
    </r>
  </si>
  <si>
    <r>
      <rPr>
        <sz val="10"/>
        <rFont val="Noto Sans CJK SC"/>
        <family val="2"/>
      </rPr>
      <t xml:space="preserve">常驻外观数量 </t>
    </r>
    <r>
      <rPr>
        <sz val="10"/>
        <rFont val="Arial"/>
        <family val="0"/>
        <charset val="1"/>
      </rPr>
      <t xml:space="preserve">N</t>
    </r>
  </si>
  <si>
    <r>
      <rPr>
        <sz val="10"/>
        <rFont val="Arial"/>
        <family val="0"/>
        <charset val="1"/>
      </rPr>
      <t xml:space="preserve">03 §10.1 </t>
    </r>
    <r>
      <rPr>
        <sz val="10"/>
        <rFont val="Noto Sans CJK SC"/>
        <family val="2"/>
      </rPr>
      <t xml:space="preserve">统计</t>
    </r>
  </si>
  <si>
    <r>
      <rPr>
        <sz val="10"/>
        <rFont val="Noto Sans CJK SC"/>
        <family val="2"/>
      </rPr>
      <t xml:space="preserve">常驻外观数量 </t>
    </r>
    <r>
      <rPr>
        <sz val="10"/>
        <rFont val="Arial"/>
        <family val="0"/>
        <charset val="1"/>
      </rPr>
      <t xml:space="preserve">R</t>
    </r>
  </si>
  <si>
    <r>
      <rPr>
        <sz val="10"/>
        <rFont val="Noto Sans CJK SC"/>
        <family val="2"/>
      </rPr>
      <t xml:space="preserve">常驻外观数量 </t>
    </r>
    <r>
      <rPr>
        <sz val="10"/>
        <rFont val="Arial"/>
        <family val="0"/>
        <charset val="1"/>
      </rPr>
      <t xml:space="preserve">SR</t>
    </r>
  </si>
  <si>
    <r>
      <rPr>
        <sz val="10"/>
        <rFont val="Noto Sans CJK SC"/>
        <family val="2"/>
      </rPr>
      <t xml:space="preserve">常驻外观数量 </t>
    </r>
    <r>
      <rPr>
        <sz val="10"/>
        <rFont val="Arial"/>
        <family val="0"/>
        <charset val="1"/>
      </rPr>
      <t xml:space="preserve">SSR</t>
    </r>
  </si>
  <si>
    <r>
      <rPr>
        <sz val="10"/>
        <rFont val="Noto Sans CJK SC"/>
        <family val="2"/>
      </rPr>
      <t xml:space="preserve">限时池</t>
    </r>
    <r>
      <rPr>
        <sz val="10"/>
        <rFont val="Arial"/>
        <family val="0"/>
        <charset val="1"/>
      </rPr>
      <t xml:space="preserve">(P02)</t>
    </r>
    <r>
      <rPr>
        <sz val="10"/>
        <rFont val="Noto Sans CJK SC"/>
        <family val="2"/>
      </rPr>
      <t xml:space="preserve">外观数量</t>
    </r>
  </si>
  <si>
    <t xml:space="preserve">03 §10.2</t>
  </si>
  <si>
    <r>
      <rPr>
        <sz val="10"/>
        <rFont val="Noto Sans CJK SC"/>
        <family val="2"/>
      </rPr>
      <t xml:space="preserve">配方产物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无效数</t>
    </r>
  </si>
  <si>
    <r>
      <rPr>
        <sz val="10"/>
        <rFont val="Noto Sans CJK SC"/>
        <family val="2"/>
      </rPr>
      <t xml:space="preserve">引用完整性：产物必须存在于 </t>
    </r>
    <r>
      <rPr>
        <sz val="10"/>
        <rFont val="Arial"/>
        <family val="0"/>
        <charset val="1"/>
      </rPr>
      <t xml:space="preserve">Item</t>
    </r>
  </si>
  <si>
    <r>
      <rPr>
        <sz val="10"/>
        <rFont val="Noto Sans CJK SC"/>
        <family val="2"/>
      </rPr>
      <t xml:space="preserve">配方材料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无效数</t>
    </r>
  </si>
  <si>
    <t xml:space="preserve">引用完整性</t>
  </si>
  <si>
    <r>
      <rPr>
        <sz val="10"/>
        <rFont val="Noto Sans CJK SC"/>
        <family val="2"/>
      </rPr>
      <t xml:space="preserve">作物种子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产出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无效数</t>
    </r>
  </si>
  <si>
    <r>
      <rPr>
        <sz val="10"/>
        <rFont val="Noto Sans CJK SC"/>
        <family val="2"/>
      </rPr>
      <t xml:space="preserve">卡池物品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无效数</t>
    </r>
  </si>
  <si>
    <r>
      <rPr>
        <sz val="10"/>
        <rFont val="Noto Sans CJK SC"/>
        <family val="2"/>
      </rPr>
      <t xml:space="preserve">引用完整性：卡池物品必须存在于 </t>
    </r>
    <r>
      <rPr>
        <sz val="10"/>
        <rFont val="Arial"/>
        <family val="0"/>
        <charset val="1"/>
      </rPr>
      <t xml:space="preserve">AvatarItem</t>
    </r>
  </si>
  <si>
    <r>
      <rPr>
        <sz val="10"/>
        <rFont val="Noto Sans CJK SC"/>
        <family val="2"/>
      </rPr>
      <t xml:space="preserve">升至 </t>
    </r>
    <r>
      <rPr>
        <sz val="10"/>
        <rFont val="Arial"/>
        <family val="0"/>
        <charset val="1"/>
      </rPr>
      <t xml:space="preserve">Lv20 </t>
    </r>
    <r>
      <rPr>
        <sz val="10"/>
        <rFont val="Noto Sans CJK SC"/>
        <family val="2"/>
      </rPr>
      <t xml:space="preserve">累计经验</t>
    </r>
  </si>
  <si>
    <t xml:space="preserve">03 §7.1</t>
  </si>
  <si>
    <r>
      <rPr>
        <sz val="10"/>
        <rFont val="Noto Sans CJK SC"/>
        <family val="2"/>
      </rPr>
      <t xml:space="preserve">平均出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所需抽数</t>
    </r>
  </si>
  <si>
    <r>
      <rPr>
        <sz val="10"/>
        <rFont val="Arial"/>
        <family val="0"/>
        <charset val="1"/>
      </rPr>
      <t xml:space="preserve">03 §11.4</t>
    </r>
    <r>
      <rPr>
        <sz val="10"/>
        <rFont val="Noto Sans CJK SC"/>
        <family val="2"/>
      </rPr>
      <t xml:space="preserve">（脚本模拟 </t>
    </r>
    <r>
      <rPr>
        <sz val="10"/>
        <rFont val="Arial"/>
        <family val="0"/>
        <charset val="1"/>
      </rPr>
      <t xml:space="preserve">36.3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</si>
  <si>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50 </t>
    </r>
    <r>
      <rPr>
        <sz val="10"/>
        <rFont val="Noto Sans CJK SC"/>
        <family val="2"/>
      </rPr>
      <t xml:space="preserve">抽内出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概率</t>
    </r>
  </si>
  <si>
    <r>
      <rPr>
        <sz val="10"/>
        <rFont val="Arial"/>
        <family val="0"/>
        <charset val="1"/>
      </rPr>
      <t xml:space="preserve">03 §11.4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97.6%</t>
    </r>
    <r>
      <rPr>
        <sz val="10"/>
        <rFont val="Noto Sans CJK SC"/>
        <family val="2"/>
      </rPr>
      <t xml:space="preserve">）；需 </t>
    </r>
    <r>
      <rPr>
        <sz val="10"/>
        <rFont val="Arial"/>
        <family val="0"/>
        <charset val="1"/>
      </rPr>
      <t xml:space="preserve">GachaSim!B10 = 50</t>
    </r>
  </si>
  <si>
    <r>
      <rPr>
        <sz val="10"/>
        <rFont val="Noto Sans CJK SC"/>
        <family val="2"/>
      </rPr>
      <t xml:space="preserve">综合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出率</t>
    </r>
  </si>
  <si>
    <r>
      <rPr>
        <sz val="10"/>
        <rFont val="Arial"/>
        <family val="0"/>
        <charset val="1"/>
      </rPr>
      <t xml:space="preserve">03 §11.4</t>
    </r>
    <r>
      <rPr>
        <sz val="10"/>
        <rFont val="Noto Sans CJK SC"/>
        <family val="2"/>
      </rPr>
      <t xml:space="preserve">（约 </t>
    </r>
    <r>
      <rPr>
        <sz val="10"/>
        <rFont val="Arial"/>
        <family val="0"/>
        <charset val="1"/>
      </rPr>
      <t xml:space="preserve">2.75%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</si>
  <si>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平均出 </t>
    </r>
    <r>
      <rPr>
        <sz val="10"/>
        <rFont val="Arial"/>
        <family val="0"/>
        <charset val="1"/>
      </rPr>
      <t xml:space="preserve">UP </t>
    </r>
    <r>
      <rPr>
        <sz val="10"/>
        <rFont val="Noto Sans CJK SC"/>
        <family val="2"/>
      </rPr>
      <t xml:space="preserve">所需抽数</t>
    </r>
  </si>
  <si>
    <r>
      <rPr>
        <sz val="10"/>
        <rFont val="Arial"/>
        <family val="0"/>
        <charset val="1"/>
      </rPr>
      <t xml:space="preserve">03 §11.4</t>
    </r>
    <r>
      <rPr>
        <sz val="10"/>
        <rFont val="Noto Sans CJK SC"/>
        <family val="2"/>
      </rPr>
      <t xml:space="preserve">（约 </t>
    </r>
    <r>
      <rPr>
        <sz val="10"/>
        <rFont val="Arial"/>
        <family val="0"/>
        <charset val="1"/>
      </rPr>
      <t xml:space="preserve">54.5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</si>
  <si>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订单示例：草莓蛋糕</t>
    </r>
    <r>
      <rPr>
        <sz val="10"/>
        <rFont val="Arial"/>
        <family val="0"/>
        <charset val="1"/>
      </rPr>
      <t xml:space="preserve">×2+</t>
    </r>
    <r>
      <rPr>
        <sz val="10"/>
        <rFont val="Noto Sans CJK SC"/>
        <family val="2"/>
      </rPr>
      <t xml:space="preserve">南瓜派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玉米饼 金币</t>
    </r>
  </si>
  <si>
    <r>
      <rPr>
        <sz val="10"/>
        <rFont val="Arial"/>
        <family val="0"/>
        <charset val="1"/>
      </rPr>
      <t xml:space="preserve">03 §8.2 </t>
    </r>
    <r>
      <rPr>
        <sz val="10"/>
        <rFont val="Noto Sans CJK SC"/>
        <family val="2"/>
      </rPr>
      <t xml:space="preserve">示例</t>
    </r>
  </si>
  <si>
    <r>
      <rPr>
        <sz val="10"/>
        <rFont val="Noto Sans CJK SC"/>
        <family val="2"/>
      </rPr>
      <t xml:space="preserve">订单示例：面包</t>
    </r>
    <r>
      <rPr>
        <sz val="10"/>
        <rFont val="Arial"/>
        <family val="0"/>
        <charset val="1"/>
      </rPr>
      <t xml:space="preserve">×2 </t>
    </r>
    <r>
      <rPr>
        <sz val="10"/>
        <rFont val="Noto Sans CJK SC"/>
        <family val="2"/>
      </rPr>
      <t xml:space="preserve">经验</t>
    </r>
  </si>
  <si>
    <t xml:space="preserve">核心线总周数</t>
  </si>
  <si>
    <r>
      <rPr>
        <sz val="10"/>
        <rFont val="Arial"/>
        <family val="0"/>
        <charset val="1"/>
      </rPr>
      <t xml:space="preserve">06 §1.1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28 </t>
    </r>
    <r>
      <rPr>
        <sz val="10"/>
        <rFont val="Noto Sans CJK SC"/>
        <family val="2"/>
      </rPr>
      <t xml:space="preserve">周开发 </t>
    </r>
    <r>
      <rPr>
        <sz val="10"/>
        <rFont val="Arial"/>
        <family val="0"/>
        <charset val="1"/>
      </rPr>
      <t xml:space="preserve">+ 4 </t>
    </r>
    <r>
      <rPr>
        <sz val="10"/>
        <rFont val="Noto Sans CJK SC"/>
        <family val="2"/>
      </rPr>
      <t xml:space="preserve">周缓冲</t>
    </r>
  </si>
  <si>
    <t xml:space="preserve">核心线估时 − 周容量（余量）</t>
  </si>
  <si>
    <r>
      <rPr>
        <sz val="10"/>
        <rFont val="Arial"/>
        <family val="0"/>
        <charset val="1"/>
      </rPr>
      <t xml:space="preserve">&lt; 0 </t>
    </r>
    <r>
      <rPr>
        <sz val="10"/>
        <rFont val="Noto Sans CJK SC"/>
        <family val="2"/>
      </rPr>
      <t xml:space="preserve">表示估时超出周容量，需动用缓冲或砍项</t>
    </r>
  </si>
  <si>
    <r>
      <rPr>
        <b val="true"/>
        <sz val="11"/>
        <color rgb="FF1F3A5F"/>
        <rFont val="Noto Sans CJK SC"/>
        <family val="2"/>
      </rPr>
      <t xml:space="preserve">信息项（非通过 </t>
    </r>
    <r>
      <rPr>
        <b val="true"/>
        <sz val="11"/>
        <color rgb="FF1F3A5F"/>
        <rFont val="Arial"/>
        <family val="0"/>
        <charset val="1"/>
      </rPr>
      <t xml:space="preserve">/ </t>
    </r>
    <r>
      <rPr>
        <b val="true"/>
        <sz val="11"/>
        <color rgb="FF1F3A5F"/>
        <rFont val="Noto Sans CJK SC"/>
        <family val="2"/>
      </rPr>
      <t xml:space="preserve">失败）</t>
    </r>
  </si>
  <si>
    <t xml:space="preserve">加工品增值倍率：最小</t>
  </si>
  <si>
    <r>
      <rPr>
        <sz val="10"/>
        <rFont val="Arial"/>
        <family val="0"/>
        <charset val="1"/>
      </rPr>
      <t xml:space="preserve">03 </t>
    </r>
    <r>
      <rPr>
        <sz val="10"/>
        <rFont val="Noto Sans CJK SC"/>
        <family val="2"/>
      </rPr>
      <t xml:space="preserve">文档原写“</t>
    </r>
    <r>
      <rPr>
        <sz val="10"/>
        <rFont val="Arial"/>
        <family val="0"/>
        <charset val="1"/>
      </rPr>
      <t xml:space="preserve">1.1~1.9 </t>
    </r>
    <r>
      <rPr>
        <sz val="10"/>
        <rFont val="Noto Sans CJK SC"/>
        <family val="2"/>
      </rPr>
      <t xml:space="preserve">倍”，实际范围见本行与下一行，文档已同步更正</t>
    </r>
  </si>
  <si>
    <t xml:space="preserve">加工品增值倍率：最大</t>
  </si>
  <si>
    <r>
      <rPr>
        <sz val="10"/>
        <rFont val="Noto Sans CJK SC"/>
        <family val="2"/>
      </rPr>
      <t xml:space="preserve">采集类原料便宜，工坊产物倍率偏高，属预期；</t>
    </r>
    <r>
      <rPr>
        <sz val="10"/>
        <rFont val="Arial"/>
        <family val="0"/>
        <charset val="1"/>
      </rPr>
      <t xml:space="preserve">M2 </t>
    </r>
    <r>
      <rPr>
        <sz val="10"/>
        <rFont val="Noto Sans CJK SC"/>
        <family val="2"/>
      </rPr>
      <t xml:space="preserve">经济校准时关注</t>
    </r>
  </si>
  <si>
    <t xml:space="preserve">脚本模拟参考值（静态，不随配置变化）</t>
  </si>
  <si>
    <t xml:space="preserve">指标</t>
  </si>
  <si>
    <t xml:space="preserve">值</t>
  </si>
  <si>
    <t xml:space="preserve">来源</t>
  </si>
  <si>
    <r>
      <rPr>
        <sz val="10"/>
        <rFont val="Noto Sans CJK SC"/>
        <family val="2"/>
      </rPr>
      <t xml:space="preserve">综合 </t>
    </r>
    <r>
      <rPr>
        <sz val="10"/>
        <rFont val="Arial"/>
        <family val="0"/>
        <charset val="1"/>
      </rPr>
      <t xml:space="preserve">SR </t>
    </r>
    <r>
      <rPr>
        <sz val="10"/>
        <rFont val="Noto Sans CJK SC"/>
        <family val="2"/>
      </rPr>
      <t xml:space="preserve">出率</t>
    </r>
  </si>
  <si>
    <r>
      <rPr>
        <sz val="10"/>
        <rFont val="Arial"/>
        <family val="0"/>
        <charset val="1"/>
      </rPr>
      <t xml:space="preserve">Python </t>
    </r>
    <r>
      <rPr>
        <sz val="10"/>
        <rFont val="Noto Sans CJK SC"/>
        <family val="2"/>
      </rPr>
      <t xml:space="preserve">蒙特卡洛 </t>
    </r>
    <r>
      <rPr>
        <sz val="10"/>
        <rFont val="Arial"/>
        <family val="0"/>
        <charset val="1"/>
      </rPr>
      <t xml:space="preserve">200,000 </t>
    </r>
    <r>
      <rPr>
        <sz val="10"/>
        <rFont val="Noto Sans CJK SC"/>
        <family val="2"/>
      </rPr>
      <t xml:space="preserve">次，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保底 </t>
    </r>
    <r>
      <rPr>
        <sz val="10"/>
        <rFont val="Arial"/>
        <family val="0"/>
        <charset val="1"/>
      </rPr>
      <t xml:space="preserve">+ SR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抽保底联动（见 </t>
    </r>
    <r>
      <rPr>
        <sz val="10"/>
        <rFont val="Arial"/>
        <family val="0"/>
        <charset val="1"/>
      </rPr>
      <t xml:space="preserve">03 §11.4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</si>
  <si>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综合 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出率</t>
    </r>
  </si>
  <si>
    <r>
      <rPr>
        <sz val="10"/>
        <rFont val="Noto Sans CJK SC"/>
        <family val="2"/>
      </rPr>
      <t xml:space="preserve">综合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出率</t>
    </r>
  </si>
  <si>
    <r>
      <rPr>
        <b val="true"/>
        <sz val="14"/>
        <color rgb="FF1F3A5F"/>
        <rFont val="Noto Sans CJK SC"/>
        <family val="2"/>
      </rPr>
      <t xml:space="preserve">开发进度看板（单人版，依据 </t>
    </r>
    <r>
      <rPr>
        <b val="true"/>
        <sz val="14"/>
        <color rgb="FF1F3A5F"/>
        <rFont val="Arial"/>
        <family val="0"/>
        <charset val="1"/>
      </rPr>
      <t xml:space="preserve">06_</t>
    </r>
    <r>
      <rPr>
        <b val="true"/>
        <sz val="14"/>
        <color rgb="FF1F3A5F"/>
        <rFont val="Noto Sans CJK SC"/>
        <family val="2"/>
      </rPr>
      <t xml:space="preserve">开发计划）</t>
    </r>
  </si>
  <si>
    <t xml:space="preserve">起始日期</t>
  </si>
  <si>
    <r>
      <rPr>
        <i val="true"/>
        <sz val="9"/>
        <color rgb="FF595959"/>
        <rFont val="Noto Sans CJK SC"/>
        <family val="2"/>
      </rPr>
      <t xml:space="preserve">黄色底色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可编辑输入；开始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结束日期、周容量、余量、投入比例均为公式。</t>
    </r>
  </si>
  <si>
    <r>
      <rPr>
        <b val="true"/>
        <sz val="10"/>
        <rFont val="Noto Sans CJK SC"/>
        <family val="2"/>
      </rPr>
      <t xml:space="preserve">每周投入</t>
    </r>
    <r>
      <rPr>
        <b val="true"/>
        <sz val="10"/>
        <rFont val="Arial"/>
        <family val="0"/>
        <charset val="1"/>
      </rPr>
      <t xml:space="preserve">(h)</t>
    </r>
  </si>
  <si>
    <r>
      <rPr>
        <i val="true"/>
        <sz val="9"/>
        <color rgb="FF595959"/>
        <rFont val="Noto Sans CJK SC"/>
        <family val="2"/>
      </rPr>
      <t xml:space="preserve">余量 </t>
    </r>
    <r>
      <rPr>
        <i val="true"/>
        <sz val="9"/>
        <color rgb="FF595959"/>
        <rFont val="Arial"/>
        <family val="0"/>
        <charset val="1"/>
      </rPr>
      <t xml:space="preserve">&lt; 0 </t>
    </r>
    <r>
      <rPr>
        <i val="true"/>
        <sz val="9"/>
        <color rgb="FF595959"/>
        <rFont val="Noto Sans CJK SC"/>
        <family val="2"/>
      </rPr>
      <t xml:space="preserve">表示估时超出该里程碑周容量（标红）。</t>
    </r>
  </si>
  <si>
    <t xml:space="preserve">里程碑</t>
  </si>
  <si>
    <t xml:space="preserve">名称</t>
  </si>
  <si>
    <t xml:space="preserve">周数</t>
  </si>
  <si>
    <t xml:space="preserve">开始</t>
  </si>
  <si>
    <t xml:space="preserve">结束</t>
  </si>
  <si>
    <r>
      <rPr>
        <b val="true"/>
        <sz val="10"/>
        <color rgb="FFFFFFFF"/>
        <rFont val="Noto Sans CJK SC"/>
        <family val="2"/>
      </rPr>
      <t xml:space="preserve">估时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</si>
  <si>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周容量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</si>
  <si>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余量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</si>
  <si>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实际投入</t>
    </r>
    <r>
      <rPr>
        <b val="true"/>
        <sz val="10"/>
        <color rgb="FFFFFFFF"/>
        <rFont val="Arial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</si>
  <si>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投入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估时</t>
    </r>
  </si>
  <si>
    <t xml:space="preserve">M0</t>
  </si>
  <si>
    <t xml:space="preserve">预研与灰盒原型</t>
  </si>
  <si>
    <t xml:space="preserve">核心</t>
  </si>
  <si>
    <t xml:space="preserve">未开始</t>
  </si>
  <si>
    <t xml:space="preserve">M1</t>
  </si>
  <si>
    <t xml:space="preserve">基础框架</t>
  </si>
  <si>
    <t xml:space="preserve">M2</t>
  </si>
  <si>
    <t xml:space="preserve">家园核心玩法</t>
  </si>
  <si>
    <t xml:space="preserve">M3</t>
  </si>
  <si>
    <t xml:space="preserve">垂直切片</t>
  </si>
  <si>
    <t xml:space="preserve">M4</t>
  </si>
  <si>
    <t xml:space="preserve">广场多人在线</t>
  </si>
  <si>
    <t xml:space="preserve">M5</t>
  </si>
  <si>
    <t xml:space="preserve">抽卡与热更活动</t>
  </si>
  <si>
    <t xml:space="preserve">缓冲</t>
  </si>
  <si>
    <r>
      <rPr>
        <sz val="10"/>
        <rFont val="Noto Sans CJK SC"/>
        <family val="2"/>
      </rPr>
      <t xml:space="preserve">欠账 </t>
    </r>
    <r>
      <rPr>
        <sz val="10"/>
        <rFont val="Arial"/>
        <family val="0"/>
        <charset val="1"/>
      </rPr>
      <t xml:space="preserve">/ P1 / </t>
    </r>
    <r>
      <rPr>
        <sz val="10"/>
        <rFont val="Noto Sans CJK SC"/>
        <family val="2"/>
      </rPr>
      <t xml:space="preserve">优化</t>
    </r>
  </si>
  <si>
    <t xml:space="preserve">M6</t>
  </si>
  <si>
    <t xml:space="preserve">作品集收尾</t>
  </si>
  <si>
    <t xml:space="preserve">M7</t>
  </si>
  <si>
    <r>
      <rPr>
        <sz val="10"/>
        <rFont val="Noto Sans CJK SC"/>
        <family val="2"/>
      </rPr>
      <t xml:space="preserve">移动端适配（</t>
    </r>
    <r>
      <rPr>
        <sz val="10"/>
        <rFont val="Arial"/>
        <family val="0"/>
        <charset val="1"/>
      </rPr>
      <t xml:space="preserve">Stretch</t>
    </r>
    <r>
      <rPr>
        <sz val="10"/>
        <rFont val="Noto Sans CJK SC"/>
        <family val="2"/>
      </rPr>
      <t xml:space="preserve">）</t>
    </r>
  </si>
  <si>
    <t xml:space="preserve">Stretch</t>
  </si>
  <si>
    <t xml:space="preserve">核心线合计</t>
  </si>
  <si>
    <r>
      <rPr>
        <b val="true"/>
        <sz val="10"/>
        <rFont val="Arial"/>
        <family val="0"/>
        <charset val="1"/>
      </rPr>
      <t xml:space="preserve">Stretch </t>
    </r>
    <r>
      <rPr>
        <b val="true"/>
        <sz val="10"/>
        <rFont val="Noto Sans CJK SC"/>
        <family val="2"/>
      </rPr>
      <t xml:space="preserve">合计</t>
    </r>
  </si>
  <si>
    <t xml:space="preserve">全部合计</t>
  </si>
  <si>
    <r>
      <rPr>
        <b val="true"/>
        <sz val="11"/>
        <color rgb="FF1F3A5F"/>
        <rFont val="Arial"/>
        <family val="0"/>
        <charset val="1"/>
      </rPr>
      <t xml:space="preserve">P0 </t>
    </r>
    <r>
      <rPr>
        <b val="true"/>
        <sz val="11"/>
        <color rgb="FF1F3A5F"/>
        <rFont val="Noto Sans CJK SC"/>
        <family val="2"/>
      </rPr>
      <t xml:space="preserve">功能完成度</t>
    </r>
  </si>
  <si>
    <t xml:space="preserve">编号</t>
  </si>
  <si>
    <t xml:space="preserve">功能</t>
  </si>
  <si>
    <t xml:space="preserve">对应里程碑</t>
  </si>
  <si>
    <t xml:space="preserve">备注</t>
  </si>
  <si>
    <t xml:space="preserve">F01</t>
  </si>
  <si>
    <t xml:space="preserve">账号登录与存档</t>
  </si>
  <si>
    <t xml:space="preserve">F02</t>
  </si>
  <si>
    <t xml:space="preserve">背包与物品</t>
  </si>
  <si>
    <t xml:space="preserve">F03</t>
  </si>
  <si>
    <t xml:space="preserve">种植</t>
  </si>
  <si>
    <t xml:space="preserve">F04</t>
  </si>
  <si>
    <t xml:space="preserve">采集</t>
  </si>
  <si>
    <t xml:space="preserve">F05</t>
  </si>
  <si>
    <t xml:space="preserve">加工</t>
  </si>
  <si>
    <t xml:space="preserve">F06</t>
  </si>
  <si>
    <t xml:space="preserve">订单</t>
  </si>
  <si>
    <t xml:space="preserve">F07</t>
  </si>
  <si>
    <t xml:space="preserve">成长</t>
  </si>
  <si>
    <t xml:space="preserve">F08</t>
  </si>
  <si>
    <t xml:space="preserve">家园场景（含装饰）</t>
  </si>
  <si>
    <t xml:space="preserve">M2 / M3</t>
  </si>
  <si>
    <t xml:space="preserve">F09</t>
  </si>
  <si>
    <t xml:space="preserve">广场场景</t>
  </si>
  <si>
    <t xml:space="preserve">F10</t>
  </si>
  <si>
    <t xml:space="preserve">角色外观</t>
  </si>
  <si>
    <t xml:space="preserve">F11</t>
  </si>
  <si>
    <t xml:space="preserve">抽卡</t>
  </si>
  <si>
    <t xml:space="preserve">F12</t>
  </si>
  <si>
    <r>
      <rPr>
        <sz val="10"/>
        <rFont val="Noto Sans CJK SC"/>
        <family val="2"/>
      </rPr>
      <t xml:space="preserve">热更新（代码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资源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配置）</t>
    </r>
  </si>
  <si>
    <t xml:space="preserve">M1 / M5</t>
  </si>
  <si>
    <t xml:space="preserve">F13</t>
  </si>
  <si>
    <t xml:space="preserve">新手引导</t>
  </si>
  <si>
    <r>
      <rPr>
        <b val="true"/>
        <sz val="10"/>
        <rFont val="Noto Sans CJK SC"/>
        <family val="2"/>
      </rPr>
      <t xml:space="preserve">已完成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总数</t>
    </r>
  </si>
  <si>
    <t xml:space="preserve">作品集交付物</t>
  </si>
  <si>
    <t xml:space="preserve">交付物</t>
  </si>
  <si>
    <t xml:space="preserve">D1</t>
  </si>
  <si>
    <r>
      <rPr>
        <sz val="10"/>
        <rFont val="Arial"/>
        <family val="0"/>
        <charset val="1"/>
      </rPr>
      <t xml:space="preserve">README</t>
    </r>
    <r>
      <rPr>
        <sz val="10"/>
        <rFont val="Noto Sans CJK SC"/>
        <family val="2"/>
      </rPr>
      <t xml:space="preserve">（含截图 </t>
    </r>
    <r>
      <rPr>
        <sz val="10"/>
        <rFont val="Arial"/>
        <family val="0"/>
        <charset val="1"/>
      </rPr>
      <t xml:space="preserve">/ GIF / </t>
    </r>
    <r>
      <rPr>
        <sz val="10"/>
        <rFont val="Noto Sans CJK SC"/>
        <family val="2"/>
      </rPr>
      <t xml:space="preserve">架构图）</t>
    </r>
  </si>
  <si>
    <t xml:space="preserve">D2</t>
  </si>
  <si>
    <r>
      <rPr>
        <sz val="10"/>
        <rFont val="Noto Sans CJK SC"/>
        <family val="2"/>
      </rPr>
      <t xml:space="preserve">演示视频（</t>
    </r>
    <r>
      <rPr>
        <sz val="10"/>
        <rFont val="Arial"/>
        <family val="0"/>
        <charset val="1"/>
      </rPr>
      <t xml:space="preserve">3~5 </t>
    </r>
    <r>
      <rPr>
        <sz val="10"/>
        <rFont val="Noto Sans CJK SC"/>
        <family val="2"/>
      </rPr>
      <t xml:space="preserve">分钟）</t>
    </r>
  </si>
  <si>
    <t xml:space="preserve">D3</t>
  </si>
  <si>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份核心文档（回填最终内容）</t>
    </r>
  </si>
  <si>
    <t xml:space="preserve">D4</t>
  </si>
  <si>
    <t xml:space="preserve">性能记录与优化前后对比</t>
  </si>
  <si>
    <t xml:space="preserve">D5</t>
  </si>
  <si>
    <t xml:space="preserve">机器人压测报告</t>
  </si>
  <si>
    <t xml:space="preserve">D6</t>
  </si>
  <si>
    <t xml:space="preserve">素材与开源授权清单</t>
  </si>
  <si>
    <t xml:space="preserve">D7</t>
  </si>
  <si>
    <r>
      <rPr>
        <sz val="10"/>
        <rFont val="Noto Sans CJK SC"/>
        <family val="2"/>
      </rPr>
      <t xml:space="preserve">可运行构建（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）</t>
    </r>
  </si>
  <si>
    <t xml:space="preserve">key</t>
  </si>
  <si>
    <t xml:space="preserve">value</t>
  </si>
  <si>
    <t xml:space="preserve">desc</t>
  </si>
  <si>
    <t xml:space="preserve">string</t>
  </si>
  <si>
    <t xml:space="preserve">Key</t>
  </si>
  <si>
    <t xml:space="preserve">说明</t>
  </si>
  <si>
    <t xml:space="preserve">bag_init_slots</t>
  </si>
  <si>
    <t xml:space="preserve">背包初始格数</t>
  </si>
  <si>
    <t xml:space="preserve">bag_expand_step</t>
  </si>
  <si>
    <t xml:space="preserve">每次扩容格数</t>
  </si>
  <si>
    <t xml:space="preserve">bag_expand_costs</t>
  </si>
  <si>
    <t xml:space="preserve">500;1000;2000;4000;8000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</si>
  <si>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1~5 </t>
    </r>
    <r>
      <rPr>
        <sz val="10"/>
        <rFont val="Noto Sans CJK SC"/>
        <family val="2"/>
      </rPr>
      <t xml:space="preserve">次扩容金币（最高 </t>
    </r>
    <r>
      <rPr>
        <sz val="10"/>
        <rFont val="Arial"/>
        <family val="0"/>
        <charset val="1"/>
      </rPr>
      <t xml:space="preserve">110 </t>
    </r>
    <r>
      <rPr>
        <sz val="10"/>
        <rFont val="Noto Sans CJK SC"/>
        <family val="2"/>
      </rPr>
      <t xml:space="preserve">格）</t>
    </r>
  </si>
  <si>
    <t xml:space="preserve">stack_default</t>
  </si>
  <si>
    <t xml:space="preserve">默认堆叠上限</t>
  </si>
  <si>
    <t xml:space="preserve">water_ratio</t>
  </si>
  <si>
    <r>
      <rPr>
        <sz val="10"/>
        <rFont val="Noto Sans CJK SC"/>
        <family val="2"/>
      </rPr>
      <t xml:space="preserve">浇水缩短剩余时间比例（每块地限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次）</t>
    </r>
  </si>
  <si>
    <t xml:space="preserve">fertilize_ratio</t>
  </si>
  <si>
    <r>
      <rPr>
        <sz val="10"/>
        <rFont val="Noto Sans CJK SC"/>
        <family val="2"/>
      </rPr>
      <t xml:space="preserve">施肥缩短剩余时间比例（每块地限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次）</t>
    </r>
  </si>
  <si>
    <t xml:space="preserve">speedup_sec_per_gem</t>
  </si>
  <si>
    <r>
      <rPr>
        <sz val="10"/>
        <rFont val="Noto Sans CJK SC"/>
        <family val="2"/>
      </rPr>
      <t xml:space="preserve">加工加速：每 </t>
    </r>
    <r>
      <rPr>
        <sz val="10"/>
        <rFont val="Arial"/>
        <family val="0"/>
        <charset val="1"/>
      </rPr>
      <t xml:space="preserve">300 </t>
    </r>
    <r>
      <rPr>
        <sz val="10"/>
        <rFont val="Noto Sans CJK SC"/>
        <family val="2"/>
      </rPr>
      <t xml:space="preserve">秒剩余时间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钻石，向上取整，最少 </t>
    </r>
    <r>
      <rPr>
        <sz val="10"/>
        <rFont val="Arial"/>
        <family val="0"/>
        <charset val="1"/>
      </rPr>
      <t xml:space="preserve">1</t>
    </r>
  </si>
  <si>
    <t xml:space="preserve">daily_reset_hour</t>
  </si>
  <si>
    <r>
      <rPr>
        <sz val="10"/>
        <rFont val="Noto Sans CJK SC"/>
        <family val="2"/>
      </rPr>
      <t xml:space="preserve">每日刷新时刻（服务器时区 </t>
    </r>
    <r>
      <rPr>
        <sz val="10"/>
        <rFont val="Arial"/>
        <family val="0"/>
        <charset val="1"/>
      </rPr>
      <t xml:space="preserve">UTC+8</t>
    </r>
    <r>
      <rPr>
        <sz val="10"/>
        <rFont val="Noto Sans CJK SC"/>
        <family val="2"/>
      </rPr>
      <t xml:space="preserve">）</t>
    </r>
  </si>
  <si>
    <t xml:space="preserve">order_daily_count</t>
  </si>
  <si>
    <t xml:space="preserve">日常订单数</t>
  </si>
  <si>
    <t xml:space="preserve">order_reroll_free</t>
  </si>
  <si>
    <t xml:space="preserve">每日免费刷新次数</t>
  </si>
  <si>
    <t xml:space="preserve">order_reroll_costs</t>
  </si>
  <si>
    <t xml:space="preserve">50;100;150;300</t>
  </si>
  <si>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次起刷新费用（第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次及以后均为 </t>
    </r>
    <r>
      <rPr>
        <sz val="10"/>
        <rFont val="Arial"/>
        <family val="0"/>
        <charset val="1"/>
      </rPr>
      <t xml:space="preserve">300</t>
    </r>
    <r>
      <rPr>
        <sz val="10"/>
        <rFont val="Noto Sans CJK SC"/>
        <family val="2"/>
      </rPr>
      <t xml:space="preserve">）</t>
    </r>
  </si>
  <si>
    <t xml:space="preserve">order_ticket_reward</t>
  </si>
  <si>
    <t xml:space="preserve">3:1;6:1</t>
  </si>
  <si>
    <r>
      <rPr>
        <sz val="10"/>
        <rFont val="Noto Sans CJK SC"/>
        <family val="2"/>
      </rPr>
      <t xml:space="preserve">每日完成 </t>
    </r>
    <r>
      <rPr>
        <sz val="10"/>
        <rFont val="Arial"/>
        <family val="0"/>
        <charset val="1"/>
      </rPr>
      <t xml:space="preserve">3 / 6 </t>
    </r>
    <r>
      <rPr>
        <sz val="10"/>
        <rFont val="Noto Sans CJK SC"/>
        <family val="2"/>
      </rPr>
      <t xml:space="preserve">条订单各得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抽卡券（完成数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券数）</t>
    </r>
  </si>
  <si>
    <t xml:space="preserve">order_all_done_gem</t>
  </si>
  <si>
    <r>
      <rPr>
        <sz val="10"/>
        <rFont val="Noto Sans CJK SC"/>
        <family val="2"/>
      </rPr>
      <t xml:space="preserve">每日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条全部完成额外钻石</t>
    </r>
  </si>
  <si>
    <t xml:space="preserve">plaza_unlock_level</t>
  </si>
  <si>
    <t xml:space="preserve">广场开放等级</t>
  </si>
  <si>
    <t xml:space="preserve">gacha_unlock_level</t>
  </si>
  <si>
    <t xml:space="preserve">抽卡开放等级</t>
  </si>
  <si>
    <t xml:space="preserve">plaza_line_capacity</t>
  </si>
  <si>
    <t xml:space="preserve">分线人数上限</t>
  </si>
  <si>
    <t xml:space="preserve">chat_interval_sec</t>
  </si>
  <si>
    <t xml:space="preserve">聊天最短间隔（秒）</t>
  </si>
  <si>
    <t xml:space="preserve">new_player_gold</t>
  </si>
  <si>
    <t xml:space="preserve">新手初始金币</t>
  </si>
  <si>
    <t xml:space="preserve">new_player_gem</t>
  </si>
  <si>
    <t xml:space="preserve">新手初始钻石</t>
  </si>
  <si>
    <t xml:space="preserve">new_player_ticket</t>
  </si>
  <si>
    <t xml:space="preserve">新手初始抽卡券</t>
  </si>
  <si>
    <t xml:space="preserve">id</t>
  </si>
  <si>
    <t xml:space="preserve">name</t>
  </si>
  <si>
    <t xml:space="preserve">type</t>
  </si>
  <si>
    <t xml:space="preserve">stackMax</t>
  </si>
  <si>
    <t xml:space="preserve">sellPrice</t>
  </si>
  <si>
    <t xml:space="preserve">buyPrice</t>
  </si>
  <si>
    <t xml:space="preserve">unlockLevel</t>
  </si>
  <si>
    <t xml:space="preserve">int</t>
  </si>
  <si>
    <r>
      <rPr>
        <b val="true"/>
        <sz val="10"/>
        <rFont val="Noto Sans CJK SC"/>
        <family val="2"/>
      </rPr>
      <t xml:space="preserve">物品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</si>
  <si>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堆叠上限</t>
    </r>
    <r>
      <rPr>
        <b val="true"/>
        <sz val="10"/>
        <rFont val="Arial"/>
        <family val="0"/>
        <charset val="1"/>
      </rPr>
      <t xml:space="preserve">(0=</t>
    </r>
    <r>
      <rPr>
        <b val="true"/>
        <sz val="10"/>
        <rFont val="Noto Sans CJK SC"/>
        <family val="2"/>
      </rPr>
      <t xml:space="preserve">不入包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</si>
  <si>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出售价</t>
    </r>
    <r>
      <rPr>
        <b val="true"/>
        <sz val="10"/>
        <rFont val="Arial"/>
        <family val="0"/>
        <charset val="1"/>
      </rPr>
      <t xml:space="preserve">(G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0=</t>
    </r>
    <r>
      <rPr>
        <b val="true"/>
        <sz val="10"/>
        <rFont val="Noto Sans CJK SC"/>
        <family val="2"/>
      </rPr>
      <t xml:space="preserve">不可出售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</si>
  <si>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购买价</t>
    </r>
    <r>
      <rPr>
        <b val="true"/>
        <sz val="10"/>
        <rFont val="Arial"/>
        <family val="0"/>
        <charset val="1"/>
      </rPr>
      <t xml:space="preserve">(G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0=</t>
    </r>
    <r>
      <rPr>
        <b val="true"/>
        <sz val="10"/>
        <rFont val="Noto Sans CJK SC"/>
        <family val="2"/>
      </rPr>
      <t xml:space="preserve">不在商店出售</t>
    </r>
    <r>
      <rPr>
        <b val="true"/>
        <sz val="10"/>
        <rFont val="Arial"/>
        <family val="0"/>
        <charset val="1"/>
      </rPr>
      <t xml:space="preserve">)</t>
    </r>
  </si>
  <si>
    <t xml:space="preserve">解锁等级</t>
  </si>
  <si>
    <t xml:space="preserve">小麦</t>
  </si>
  <si>
    <t xml:space="preserve">crop</t>
  </si>
  <si>
    <r>
      <rPr>
        <sz val="10"/>
        <rFont val="Arial"/>
        <family val="0"/>
        <charset val="1"/>
      </rPr>
      <t xml:space="preserve">C01 </t>
    </r>
    <r>
      <rPr>
        <sz val="10"/>
        <rFont val="Noto Sans CJK SC"/>
        <family val="2"/>
      </rPr>
      <t xml:space="preserve">产出</t>
    </r>
  </si>
  <si>
    <t xml:space="preserve">胡萝卜</t>
  </si>
  <si>
    <r>
      <rPr>
        <sz val="10"/>
        <rFont val="Arial"/>
        <family val="0"/>
        <charset val="1"/>
      </rPr>
      <t xml:space="preserve">C02 </t>
    </r>
    <r>
      <rPr>
        <sz val="10"/>
        <rFont val="Noto Sans CJK SC"/>
        <family val="2"/>
      </rPr>
      <t xml:space="preserve">产出</t>
    </r>
  </si>
  <si>
    <t xml:space="preserve">土豆</t>
  </si>
  <si>
    <r>
      <rPr>
        <sz val="10"/>
        <rFont val="Arial"/>
        <family val="0"/>
        <charset val="1"/>
      </rPr>
      <t xml:space="preserve">C03 </t>
    </r>
    <r>
      <rPr>
        <sz val="10"/>
        <rFont val="Noto Sans CJK SC"/>
        <family val="2"/>
      </rPr>
      <t xml:space="preserve">产出</t>
    </r>
  </si>
  <si>
    <t xml:space="preserve">番茄</t>
  </si>
  <si>
    <r>
      <rPr>
        <sz val="10"/>
        <rFont val="Arial"/>
        <family val="0"/>
        <charset val="1"/>
      </rPr>
      <t xml:space="preserve">C04 </t>
    </r>
    <r>
      <rPr>
        <sz val="10"/>
        <rFont val="Noto Sans CJK SC"/>
        <family val="2"/>
      </rPr>
      <t xml:space="preserve">产出</t>
    </r>
  </si>
  <si>
    <t xml:space="preserve">玉米</t>
  </si>
  <si>
    <r>
      <rPr>
        <sz val="10"/>
        <rFont val="Arial"/>
        <family val="0"/>
        <charset val="1"/>
      </rPr>
      <t xml:space="preserve">C05 </t>
    </r>
    <r>
      <rPr>
        <sz val="10"/>
        <rFont val="Noto Sans CJK SC"/>
        <family val="2"/>
      </rPr>
      <t xml:space="preserve">产出</t>
    </r>
  </si>
  <si>
    <t xml:space="preserve">草莓</t>
  </si>
  <si>
    <r>
      <rPr>
        <sz val="10"/>
        <rFont val="Arial"/>
        <family val="0"/>
        <charset val="1"/>
      </rPr>
      <t xml:space="preserve">C06 </t>
    </r>
    <r>
      <rPr>
        <sz val="10"/>
        <rFont val="Noto Sans CJK SC"/>
        <family val="2"/>
      </rPr>
      <t xml:space="preserve">产出</t>
    </r>
  </si>
  <si>
    <t xml:space="preserve">南瓜</t>
  </si>
  <si>
    <r>
      <rPr>
        <sz val="10"/>
        <rFont val="Arial"/>
        <family val="0"/>
        <charset val="1"/>
      </rPr>
      <t xml:space="preserve">C07 </t>
    </r>
    <r>
      <rPr>
        <sz val="10"/>
        <rFont val="Noto Sans CJK SC"/>
        <family val="2"/>
      </rPr>
      <t xml:space="preserve">产出</t>
    </r>
  </si>
  <si>
    <t xml:space="preserve">小麦种子</t>
  </si>
  <si>
    <t xml:space="preserve">seed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</si>
  <si>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C01</t>
    </r>
  </si>
  <si>
    <t xml:space="preserve">胡萝卜种子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</si>
  <si>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C02</t>
    </r>
  </si>
  <si>
    <t xml:space="preserve">土豆种子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</si>
  <si>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C03</t>
    </r>
  </si>
  <si>
    <t xml:space="preserve">番茄种子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</si>
  <si>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C04</t>
    </r>
  </si>
  <si>
    <t xml:space="preserve">玉米种子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</si>
  <si>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C05</t>
    </r>
  </si>
  <si>
    <t xml:space="preserve">草莓种子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</si>
  <si>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C06</t>
    </r>
  </si>
  <si>
    <t xml:space="preserve">南瓜种子</t>
  </si>
  <si>
    <r>
      <rPr>
        <sz val="10"/>
        <rFont val="Noto Sans CJK SC"/>
        <family val="2"/>
      </rPr>
      <t xml:space="preserve">对应作物 </t>
    </r>
    <r>
      <rPr>
        <sz val="10"/>
        <rFont val="Arial"/>
        <family val="0"/>
        <charset val="1"/>
      </rPr>
      <t xml:space="preserve">C07</t>
    </r>
  </si>
  <si>
    <t xml:space="preserve">面粉</t>
  </si>
  <si>
    <t xml:space="preserve">product</t>
  </si>
  <si>
    <t xml:space="preserve">RC001</t>
  </si>
  <si>
    <t xml:space="preserve">面包</t>
  </si>
  <si>
    <t xml:space="preserve">RC002</t>
  </si>
  <si>
    <t xml:space="preserve">蔬菜汤</t>
  </si>
  <si>
    <t xml:space="preserve">RC003</t>
  </si>
  <si>
    <t xml:space="preserve">番茄酱</t>
  </si>
  <si>
    <t xml:space="preserve">RC005</t>
  </si>
  <si>
    <t xml:space="preserve">果酱</t>
  </si>
  <si>
    <t xml:space="preserve">RC004</t>
  </si>
  <si>
    <t xml:space="preserve">玉米饼</t>
  </si>
  <si>
    <t xml:space="preserve">RC006</t>
  </si>
  <si>
    <t xml:space="preserve">草莓蛋糕</t>
  </si>
  <si>
    <t xml:space="preserve">RC007</t>
  </si>
  <si>
    <t xml:space="preserve">南瓜派</t>
  </si>
  <si>
    <t xml:space="preserve">RC008</t>
  </si>
  <si>
    <t xml:space="preserve">木板</t>
  </si>
  <si>
    <t xml:space="preserve">RC009</t>
  </si>
  <si>
    <t xml:space="preserve">石砖</t>
  </si>
  <si>
    <t xml:space="preserve">RC010</t>
  </si>
  <si>
    <t xml:space="preserve">花束</t>
  </si>
  <si>
    <t xml:space="preserve">RC011</t>
  </si>
  <si>
    <t xml:space="preserve">木头</t>
  </si>
  <si>
    <t xml:space="preserve">gather</t>
  </si>
  <si>
    <t xml:space="preserve">树木产出</t>
  </si>
  <si>
    <t xml:space="preserve">石头</t>
  </si>
  <si>
    <t xml:space="preserve">矿石产出</t>
  </si>
  <si>
    <t xml:space="preserve">花瓣</t>
  </si>
  <si>
    <t xml:space="preserve">花丛产出</t>
  </si>
  <si>
    <t xml:space="preserve">浆果</t>
  </si>
  <si>
    <t xml:space="preserve">浆果丛产出</t>
  </si>
  <si>
    <t xml:space="preserve">树脂</t>
  </si>
  <si>
    <t xml:space="preserve">gather_rare</t>
  </si>
  <si>
    <t xml:space="preserve">树木稀有掉落</t>
  </si>
  <si>
    <t xml:space="preserve">水晶</t>
  </si>
  <si>
    <t xml:space="preserve">矿石稀有掉落</t>
  </si>
  <si>
    <t xml:space="preserve">蜂蜜</t>
  </si>
  <si>
    <t xml:space="preserve">花丛稀有掉落</t>
  </si>
  <si>
    <t xml:space="preserve">金浆果</t>
  </si>
  <si>
    <t xml:space="preserve">浆果丛稀有掉落</t>
  </si>
  <si>
    <t xml:space="preserve">肥料</t>
  </si>
  <si>
    <t xml:space="preserve">consumable</t>
  </si>
  <si>
    <r>
      <rPr>
        <sz val="10"/>
        <rFont val="Noto Sans CJK SC"/>
        <family val="2"/>
      </rPr>
      <t xml:space="preserve">施肥：缩短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剩余时间</t>
    </r>
  </si>
  <si>
    <t xml:space="preserve">斧头</t>
  </si>
  <si>
    <t xml:space="preserve">tool</t>
  </si>
  <si>
    <t xml:space="preserve">采集树木；初始赠送</t>
  </si>
  <si>
    <t xml:space="preserve">镐</t>
  </si>
  <si>
    <r>
      <rPr>
        <sz val="10"/>
        <rFont val="Noto Sans CJK SC"/>
        <family val="2"/>
      </rPr>
      <t xml:space="preserve">采集矿石；</t>
    </r>
    <r>
      <rPr>
        <sz val="10"/>
        <rFont val="Arial"/>
        <family val="0"/>
        <charset val="1"/>
      </rPr>
      <t xml:space="preserve">Lv3 </t>
    </r>
    <r>
      <rPr>
        <sz val="10"/>
        <rFont val="Noto Sans CJK SC"/>
        <family val="2"/>
      </rPr>
      <t xml:space="preserve">赠送</t>
    </r>
  </si>
  <si>
    <t xml:space="preserve">采集篮</t>
  </si>
  <si>
    <t xml:space="preserve">采集花丛、浆果丛；初始赠送</t>
  </si>
  <si>
    <t xml:space="preserve">金币</t>
  </si>
  <si>
    <t xml:space="preserve">currency</t>
  </si>
  <si>
    <t xml:space="preserve">软货币</t>
  </si>
  <si>
    <t xml:space="preserve">钻石</t>
  </si>
  <si>
    <t xml:space="preserve">虚拟硬货币，仅游戏内发放</t>
  </si>
  <si>
    <t xml:space="preserve">抽卡券</t>
  </si>
  <si>
    <r>
      <rPr>
        <sz val="10"/>
        <rFont val="Noto Sans CJK SC"/>
        <family val="2"/>
      </rPr>
      <t xml:space="preserve">订单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任务获得</t>
    </r>
  </si>
  <si>
    <t xml:space="preserve">碎片</t>
  </si>
  <si>
    <t xml:space="preserve">抽卡重复转化，用于碎片商店</t>
  </si>
  <si>
    <t xml:space="preserve">seedId</t>
  </si>
  <si>
    <t xml:space="preserve">yieldItemId</t>
  </si>
  <si>
    <t xml:space="preserve">growSec</t>
  </si>
  <si>
    <t xml:space="preserve">yieldMin</t>
  </si>
  <si>
    <t xml:space="preserve">yieldMax</t>
  </si>
  <si>
    <t xml:space="preserve">exp</t>
  </si>
  <si>
    <t xml:space="preserve">stageRatio</t>
  </si>
  <si>
    <t xml:space="preserve">#seedCost</t>
  </si>
  <si>
    <t xml:space="preserve">#sellPrice</t>
  </si>
  <si>
    <t xml:space="preserve">#avgYield</t>
  </si>
  <si>
    <t xml:space="preserve">#netPerCycle</t>
  </si>
  <si>
    <t xml:space="preserve">#netPerHour</t>
  </si>
  <si>
    <t xml:space="preserve">calc</t>
  </si>
  <si>
    <r>
      <rPr>
        <b val="true"/>
        <sz val="10"/>
        <rFont val="Noto Sans CJK SC"/>
        <family val="2"/>
      </rPr>
      <t xml:space="preserve">作物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</si>
  <si>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种子物品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</si>
  <si>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产出物品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</si>
  <si>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生长时间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</si>
  <si>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t xml:space="preserve">产量下限</t>
  </si>
  <si>
    <t xml:space="preserve">产量上限</t>
  </si>
  <si>
    <t xml:space="preserve">收获经验</t>
  </si>
  <si>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阶段时间占比</t>
    </r>
    <r>
      <rPr>
        <b val="true"/>
        <sz val="10"/>
        <rFont val="Arial"/>
        <family val="0"/>
        <charset val="1"/>
      </rPr>
      <t xml:space="preserve">(%)</t>
    </r>
  </si>
  <si>
    <r>
      <rPr>
        <b val="true"/>
        <sz val="10"/>
        <rFont val="Noto Sans CJK SC"/>
        <family val="2"/>
      </rPr>
      <t xml:space="preserve">种子价</t>
    </r>
    <r>
      <rPr>
        <b val="true"/>
        <sz val="10"/>
        <rFont val="Arial"/>
        <family val="0"/>
        <charset val="1"/>
      </rPr>
      <t xml:space="preserve">(G)</t>
    </r>
  </si>
  <si>
    <r>
      <rPr>
        <b val="true"/>
        <sz val="10"/>
        <rFont val="Noto Sans CJK SC"/>
        <family val="2"/>
      </rPr>
      <t xml:space="preserve">产出单价</t>
    </r>
    <r>
      <rPr>
        <b val="true"/>
        <sz val="10"/>
        <rFont val="Arial"/>
        <family val="0"/>
        <charset val="1"/>
      </rPr>
      <t xml:space="preserve">(G)</t>
    </r>
  </si>
  <si>
    <t xml:space="preserve">期望产量</t>
  </si>
  <si>
    <r>
      <rPr>
        <b val="true"/>
        <sz val="10"/>
        <rFont val="Noto Sans CJK SC"/>
        <family val="2"/>
      </rPr>
      <t xml:space="preserve">单轮净收益</t>
    </r>
    <r>
      <rPr>
        <b val="true"/>
        <sz val="10"/>
        <rFont val="Arial"/>
        <family val="0"/>
        <charset val="1"/>
      </rPr>
      <t xml:space="preserve">(G/</t>
    </r>
    <r>
      <rPr>
        <b val="true"/>
        <sz val="10"/>
        <rFont val="Noto Sans CJK SC"/>
        <family val="2"/>
      </rPr>
      <t xml:space="preserve">块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</si>
  <si>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每小时净收益</t>
    </r>
    <r>
      <rPr>
        <b val="true"/>
        <sz val="10"/>
        <rFont val="Arial"/>
        <family val="0"/>
        <charset val="1"/>
      </rPr>
      <t xml:space="preserve">(G/</t>
    </r>
    <r>
      <rPr>
        <b val="true"/>
        <sz val="10"/>
        <rFont val="Noto Sans CJK SC"/>
        <family val="2"/>
      </rPr>
      <t xml:space="preserve">块，持续收割</t>
    </r>
    <r>
      <rPr>
        <b val="true"/>
        <sz val="10"/>
        <rFont val="Arial"/>
        <family val="0"/>
        <charset val="1"/>
      </rPr>
      <t xml:space="preserve">)</t>
    </r>
  </si>
  <si>
    <t xml:space="preserve">C01</t>
  </si>
  <si>
    <t xml:space="preserve">25;25;25;25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</si>
  <si>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</si>
  <si>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</si>
  <si>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</si>
  <si>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</si>
  <si>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</si>
  <si>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</si>
  <si>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toolId</t>
  </si>
  <si>
    <t xml:space="preserve">count</t>
  </si>
  <si>
    <t xml:space="preserve">itemId</t>
  </si>
  <si>
    <t xml:space="preserve">cooldownSec</t>
  </si>
  <si>
    <t xml:space="preserve">rareItemId</t>
  </si>
  <si>
    <t xml:space="preserve">rareChance</t>
  </si>
  <si>
    <t xml:space="preserve">#expectedValue</t>
  </si>
  <si>
    <t xml:space="preserve">#valuePerHour</t>
  </si>
  <si>
    <t xml:space="preserve">float</t>
  </si>
  <si>
    <r>
      <rPr>
        <b val="true"/>
        <sz val="10"/>
        <rFont val="Noto Sans CJK SC"/>
        <family val="2"/>
      </rPr>
      <t xml:space="preserve">采集点</t>
    </r>
    <r>
      <rPr>
        <b val="true"/>
        <sz val="10"/>
        <rFont val="Arial"/>
        <family val="0"/>
        <charset val="1"/>
      </rPr>
      <t xml:space="preserve">ID</t>
    </r>
  </si>
  <si>
    <t xml:space="preserve">所需工具</t>
  </si>
  <si>
    <t xml:space="preserve">家园数量</t>
  </si>
  <si>
    <t xml:space="preserve">产出物品</t>
  </si>
  <si>
    <r>
      <rPr>
        <b val="true"/>
        <sz val="10"/>
        <rFont val="Noto Sans CJK SC"/>
        <family val="2"/>
      </rPr>
      <t xml:space="preserve">冷却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</si>
  <si>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t xml:space="preserve">稀有掉落物品</t>
  </si>
  <si>
    <t xml:space="preserve">基础稀有率</t>
  </si>
  <si>
    <t xml:space="preserve">采集经验</t>
  </si>
  <si>
    <r>
      <rPr>
        <b val="true"/>
        <sz val="10"/>
        <rFont val="Noto Sans CJK SC"/>
        <family val="2"/>
      </rPr>
      <t xml:space="preserve">单次期望价值</t>
    </r>
    <r>
      <rPr>
        <b val="true"/>
        <sz val="10"/>
        <rFont val="Arial"/>
        <family val="0"/>
        <charset val="1"/>
      </rPr>
      <t xml:space="preserve">(G)</t>
    </r>
  </si>
  <si>
    <r>
      <rPr>
        <b val="true"/>
        <sz val="10"/>
        <rFont val="Noto Sans CJK SC"/>
        <family val="2"/>
      </rPr>
      <t xml:space="preserve">单点每小时价值</t>
    </r>
    <r>
      <rPr>
        <b val="true"/>
        <sz val="10"/>
        <rFont val="Arial"/>
        <family val="0"/>
        <charset val="1"/>
      </rPr>
      <t xml:space="preserve">(G)</t>
    </r>
  </si>
  <si>
    <t xml:space="preserve">G01</t>
  </si>
  <si>
    <t xml:space="preserve">树木</t>
  </si>
  <si>
    <t xml:space="preserve">G02</t>
  </si>
  <si>
    <t xml:space="preserve">浆果丛</t>
  </si>
  <si>
    <t xml:space="preserve">G03</t>
  </si>
  <si>
    <t xml:space="preserve">矿石</t>
  </si>
  <si>
    <t xml:space="preserve">G04</t>
  </si>
  <si>
    <t xml:space="preserve">花丛</t>
  </si>
  <si>
    <t xml:space="preserve">level</t>
  </si>
  <si>
    <t xml:space="preserve">needPlayerLevel</t>
  </si>
  <si>
    <t xml:space="preserve">goldCost</t>
  </si>
  <si>
    <t xml:space="preserve">mat1_id</t>
  </si>
  <si>
    <t xml:space="preserve">mat1_n</t>
  </si>
  <si>
    <t xml:space="preserve">mat2_id</t>
  </si>
  <si>
    <t xml:space="preserve">mat2_n</t>
  </si>
  <si>
    <t xml:space="preserve">yieldBonusMax</t>
  </si>
  <si>
    <t xml:space="preserve">#materialValue</t>
  </si>
  <si>
    <r>
      <rPr>
        <b val="true"/>
        <sz val="10"/>
        <rFont val="Noto Sans CJK SC"/>
        <family val="2"/>
      </rPr>
      <t xml:space="preserve">工具</t>
    </r>
    <r>
      <rPr>
        <b val="true"/>
        <sz val="10"/>
        <rFont val="Arial"/>
        <family val="0"/>
        <charset val="1"/>
      </rPr>
      <t xml:space="preserve">ID</t>
    </r>
  </si>
  <si>
    <t xml:space="preserve">工具等级</t>
  </si>
  <si>
    <t xml:space="preserve">玩家等级要求</t>
  </si>
  <si>
    <t xml:space="preserve">升级金币</t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</si>
  <si>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1 ID</t>
    </r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</si>
  <si>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数量</t>
    </r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</si>
  <si>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2 ID</t>
    </r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</si>
  <si>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数量</t>
    </r>
  </si>
  <si>
    <t xml:space="preserve">产量上限加成</t>
  </si>
  <si>
    <t xml:space="preserve">稀有掉落率</t>
  </si>
  <si>
    <r>
      <rPr>
        <b val="true"/>
        <sz val="10"/>
        <rFont val="Noto Sans CJK SC"/>
        <family val="2"/>
      </rPr>
      <t xml:space="preserve">材料价值</t>
    </r>
    <r>
      <rPr>
        <b val="true"/>
        <sz val="10"/>
        <rFont val="Arial"/>
        <family val="0"/>
        <charset val="1"/>
      </rPr>
      <t xml:space="preserve">(G)</t>
    </r>
  </si>
  <si>
    <t xml:space="preserve">buildGold</t>
  </si>
  <si>
    <t xml:space="preserve">category</t>
  </si>
  <si>
    <r>
      <rPr>
        <b val="true"/>
        <sz val="10"/>
        <rFont val="Noto Sans CJK SC"/>
        <family val="2"/>
      </rPr>
      <t xml:space="preserve">设施</t>
    </r>
    <r>
      <rPr>
        <b val="true"/>
        <sz val="10"/>
        <rFont val="Arial"/>
        <family val="0"/>
        <charset val="1"/>
      </rPr>
      <t xml:space="preserve">ID</t>
    </r>
  </si>
  <si>
    <t xml:space="preserve">建造金币</t>
  </si>
  <si>
    <t xml:space="preserve">可生产类别</t>
  </si>
  <si>
    <t xml:space="preserve">磨坊</t>
  </si>
  <si>
    <t xml:space="preserve">工坊</t>
  </si>
  <si>
    <r>
      <rPr>
        <sz val="10"/>
        <rFont val="Noto Sans CJK SC"/>
        <family val="2"/>
      </rPr>
      <t xml:space="preserve">木板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石砖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花束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工具升级</t>
    </r>
  </si>
  <si>
    <t xml:space="preserve">烤炉</t>
  </si>
  <si>
    <r>
      <rPr>
        <sz val="10"/>
        <rFont val="Noto Sans CJK SC"/>
        <family val="2"/>
      </rPr>
      <t xml:space="preserve">面包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玉米饼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草莓蛋糕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南瓜派</t>
    </r>
  </si>
  <si>
    <t xml:space="preserve">厨灶</t>
  </si>
  <si>
    <r>
      <rPr>
        <sz val="10"/>
        <rFont val="Noto Sans CJK SC"/>
        <family val="2"/>
      </rPr>
      <t xml:space="preserve">蔬菜汤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番茄酱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果酱</t>
    </r>
  </si>
  <si>
    <t xml:space="preserve">slots</t>
  </si>
  <si>
    <t xml:space="preserve">speedFactor</t>
  </si>
  <si>
    <t xml:space="preserve">mat3_id</t>
  </si>
  <si>
    <t xml:space="preserve">mat3_n</t>
  </si>
  <si>
    <t xml:space="preserve">设施等级</t>
  </si>
  <si>
    <t xml:space="preserve">槽位数</t>
  </si>
  <si>
    <t xml:space="preserve">生产时间倍率</t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</si>
  <si>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3 ID</t>
    </r>
  </si>
  <si>
    <r>
      <rPr>
        <b val="true"/>
        <sz val="10"/>
        <rFont val="Noto Sans CJK SC"/>
        <family val="2"/>
      </rPr>
      <t xml:space="preserve">材料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数量</t>
    </r>
  </si>
  <si>
    <t xml:space="preserve">facilityId</t>
  </si>
  <si>
    <t xml:space="preserve">in1_id</t>
  </si>
  <si>
    <t xml:space="preserve">in1_n</t>
  </si>
  <si>
    <t xml:space="preserve">in2_id</t>
  </si>
  <si>
    <t xml:space="preserve">in2_n</t>
  </si>
  <si>
    <t xml:space="preserve">out_id</t>
  </si>
  <si>
    <t xml:space="preserve">out_n</t>
  </si>
  <si>
    <t xml:space="preserve">durationSec</t>
  </si>
  <si>
    <t xml:space="preserve">#inputValue</t>
  </si>
  <si>
    <t xml:space="preserve">#outputValue</t>
  </si>
  <si>
    <t xml:space="preserve">#valueAddRatio</t>
  </si>
  <si>
    <t xml:space="preserve">#gainPerMin</t>
  </si>
  <si>
    <r>
      <rPr>
        <b val="true"/>
        <sz val="10"/>
        <rFont val="Noto Sans CJK SC"/>
        <family val="2"/>
      </rPr>
      <t xml:space="preserve">配方</t>
    </r>
    <r>
      <rPr>
        <b val="true"/>
        <sz val="10"/>
        <rFont val="Arial"/>
        <family val="0"/>
        <charset val="1"/>
      </rPr>
      <t xml:space="preserve">ID</t>
    </r>
  </si>
  <si>
    <t xml:space="preserve">配方</t>
  </si>
  <si>
    <t xml:space="preserve">设施</t>
  </si>
  <si>
    <r>
      <rPr>
        <b val="true"/>
        <sz val="10"/>
        <rFont val="Noto Sans CJK SC"/>
        <family val="2"/>
      </rPr>
      <t xml:space="preserve">产物 </t>
    </r>
    <r>
      <rPr>
        <b val="true"/>
        <sz val="10"/>
        <rFont val="Arial"/>
        <family val="0"/>
        <charset val="1"/>
      </rPr>
      <t xml:space="preserve">ID</t>
    </r>
  </si>
  <si>
    <t xml:space="preserve">产物数量</t>
  </si>
  <si>
    <r>
      <rPr>
        <b val="true"/>
        <sz val="10"/>
        <rFont val="Noto Sans CJK SC"/>
        <family val="2"/>
      </rPr>
      <t xml:space="preserve">耗时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</si>
  <si>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t xml:space="preserve">领取经验</t>
  </si>
  <si>
    <r>
      <rPr>
        <b val="true"/>
        <sz val="10"/>
        <rFont val="Noto Sans CJK SC"/>
        <family val="2"/>
      </rPr>
      <t xml:space="preserve">产物价值</t>
    </r>
    <r>
      <rPr>
        <b val="true"/>
        <sz val="10"/>
        <rFont val="Arial"/>
        <family val="0"/>
        <charset val="1"/>
      </rPr>
      <t xml:space="preserve">(G)</t>
    </r>
  </si>
  <si>
    <t xml:space="preserve">增值倍率</t>
  </si>
  <si>
    <r>
      <rPr>
        <b val="true"/>
        <sz val="10"/>
        <rFont val="Noto Sans CJK SC"/>
        <family val="2"/>
      </rPr>
      <t xml:space="preserve">每分钟增值</t>
    </r>
    <r>
      <rPr>
        <b val="true"/>
        <sz val="10"/>
        <rFont val="Arial"/>
        <family val="0"/>
        <charset val="1"/>
      </rPr>
      <t xml:space="preserve">(G)</t>
    </r>
  </si>
  <si>
    <t xml:space="preserve">needExp</t>
  </si>
  <si>
    <t xml:space="preserve">#cumExp</t>
  </si>
  <si>
    <t xml:space="preserve">当前等级</t>
  </si>
  <si>
    <t xml:space="preserve">升至下一级所需经验</t>
  </si>
  <si>
    <t xml:space="preserve">累计经验</t>
  </si>
  <si>
    <t xml:space="preserve">参数</t>
  </si>
  <si>
    <t xml:space="preserve">a</t>
  </si>
  <si>
    <t xml:space="preserve">need(L) = a + b×(L−1) + c×(L−1)²</t>
  </si>
  <si>
    <t xml:space="preserve">b</t>
  </si>
  <si>
    <t xml:space="preserve">一次项系数</t>
  </si>
  <si>
    <t xml:space="preserve">c</t>
  </si>
  <si>
    <t xml:space="preserve">二次项系数</t>
  </si>
  <si>
    <t xml:space="preserve">maxLevel</t>
  </si>
  <si>
    <r>
      <rPr>
        <sz val="10"/>
        <rFont val="Noto Sans CJK SC"/>
        <family val="2"/>
      </rPr>
      <t xml:space="preserve">最高等级（</t>
    </r>
    <r>
      <rPr>
        <sz val="10"/>
        <rFont val="Arial"/>
        <family val="0"/>
        <charset val="1"/>
      </rPr>
      <t xml:space="preserve">MVP</t>
    </r>
    <r>
      <rPr>
        <sz val="10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</si>
  <si>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黄色底色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Noto Sans CJK SC"/>
        <family val="2"/>
      </rPr>
      <t xml:space="preserve">可调参数；改后 </t>
    </r>
    <r>
      <rPr>
        <i val="true"/>
        <sz val="9"/>
        <color rgb="FF595959"/>
        <rFont val="Arial"/>
        <family val="0"/>
        <charset val="1"/>
      </rPr>
      <t xml:space="preserve">needExp / </t>
    </r>
    <r>
      <rPr>
        <i val="true"/>
        <sz val="9"/>
        <color rgb="FF595959"/>
        <rFont val="Noto Sans CJK SC"/>
        <family val="2"/>
      </rPr>
      <t xml:space="preserve">累计经验自动更新。</t>
    </r>
  </si>
  <si>
    <t xml:space="preserve">stage</t>
  </si>
  <si>
    <t xml:space="preserve">totalPlots</t>
  </si>
  <si>
    <t xml:space="preserve">unlockGold</t>
  </si>
  <si>
    <t xml:space="preserve">#newPlots</t>
  </si>
  <si>
    <t xml:space="preserve">#cumGold</t>
  </si>
  <si>
    <r>
      <rPr>
        <b val="true"/>
        <sz val="10"/>
        <rFont val="Noto Sans CJK SC"/>
        <family val="2"/>
      </rPr>
      <t xml:space="preserve">阶段</t>
    </r>
    <r>
      <rPr>
        <b val="true"/>
        <sz val="10"/>
        <rFont val="Arial"/>
        <family val="0"/>
        <charset val="1"/>
      </rPr>
      <t xml:space="preserve">(0=</t>
    </r>
    <r>
      <rPr>
        <b val="true"/>
        <sz val="10"/>
        <rFont val="Noto Sans CJK SC"/>
        <family val="2"/>
      </rPr>
      <t xml:space="preserve">初始</t>
    </r>
    <r>
      <rPr>
        <b val="true"/>
        <sz val="10"/>
        <rFont val="Arial"/>
        <family val="0"/>
        <charset val="1"/>
      </rPr>
      <t xml:space="preserve">)</t>
    </r>
  </si>
  <si>
    <t xml:space="preserve">玩家等级</t>
  </si>
  <si>
    <t xml:space="preserve">地块总数</t>
  </si>
  <si>
    <t xml:space="preserve">本次解锁金币</t>
  </si>
  <si>
    <t xml:space="preserve">本次新增地块</t>
  </si>
  <si>
    <t xml:space="preserve">累计金币</t>
  </si>
  <si>
    <t xml:space="preserve">k_easy</t>
  </si>
  <si>
    <r>
      <rPr>
        <sz val="10"/>
        <rFont val="Noto Sans CJK SC"/>
        <family val="2"/>
      </rPr>
      <t xml:space="preserve">金币系数：简单（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项）</t>
    </r>
  </si>
  <si>
    <t xml:space="preserve">k_normal</t>
  </si>
  <si>
    <r>
      <rPr>
        <sz val="10"/>
        <rFont val="Noto Sans CJK SC"/>
        <family val="2"/>
      </rPr>
      <t xml:space="preserve">金币系数：普通（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项）</t>
    </r>
  </si>
  <si>
    <t xml:space="preserve">k_hard</t>
  </si>
  <si>
    <r>
      <rPr>
        <sz val="10"/>
        <rFont val="Noto Sans CJK SC"/>
        <family val="2"/>
      </rPr>
      <t xml:space="preserve">金币系数：困难（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项）</t>
    </r>
  </si>
  <si>
    <t xml:space="preserve">exp_coef</t>
  </si>
  <si>
    <r>
      <rPr>
        <sz val="10"/>
        <rFont val="Noto Sans CJK SC"/>
        <family val="2"/>
      </rPr>
      <t xml:space="preserve">经验 </t>
    </r>
    <r>
      <rPr>
        <sz val="10"/>
        <rFont val="Arial"/>
        <family val="0"/>
        <charset val="1"/>
      </rPr>
      <t xml:space="preserve">= max(exp_min, round(V × exp_coef))</t>
    </r>
  </si>
  <si>
    <t xml:space="preserve">exp_min</t>
  </si>
  <si>
    <t xml:space="preserve">订单经验下限</t>
  </si>
  <si>
    <t xml:space="preserve">rare_chance</t>
  </si>
  <si>
    <t xml:space="preserve">“稀有加成”概率</t>
  </si>
  <si>
    <t xml:space="preserve">rare_gold_mult</t>
  </si>
  <si>
    <t xml:space="preserve">稀有加成：金币倍率</t>
  </si>
  <si>
    <t xml:space="preserve">daily_count</t>
  </si>
  <si>
    <t xml:space="preserve">每日订单数</t>
  </si>
  <si>
    <t xml:space="preserve">diff_ratio</t>
  </si>
  <si>
    <t xml:space="preserve">3:2:1</t>
  </si>
  <si>
    <r>
      <rPr>
        <sz val="10"/>
        <rFont val="Noto Sans CJK SC"/>
        <family val="2"/>
      </rPr>
      <t xml:space="preserve">简单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普通 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困难 比例</t>
    </r>
  </si>
  <si>
    <t xml:space="preserve">weight_lv1_3</t>
  </si>
  <si>
    <r>
      <rPr>
        <sz val="10"/>
        <rFont val="Noto Sans CJK SC"/>
        <family val="2"/>
      </rPr>
      <t xml:space="preserve">原料</t>
    </r>
    <r>
      <rPr>
        <sz val="10"/>
        <rFont val="Arial"/>
        <family val="0"/>
        <charset val="1"/>
      </rPr>
      <t xml:space="preserve">60%;</t>
    </r>
    <r>
      <rPr>
        <sz val="10"/>
        <rFont val="Noto Sans CJK SC"/>
        <family val="2"/>
      </rPr>
      <t xml:space="preserve">加工品</t>
    </r>
    <r>
      <rPr>
        <sz val="10"/>
        <rFont val="Arial"/>
        <family val="0"/>
        <charset val="1"/>
      </rPr>
      <t xml:space="preserve">40%</t>
    </r>
  </si>
  <si>
    <r>
      <rPr>
        <sz val="10"/>
        <rFont val="Arial"/>
        <family val="0"/>
        <charset val="1"/>
      </rPr>
      <t xml:space="preserve">Lv1~3 </t>
    </r>
    <r>
      <rPr>
        <sz val="10"/>
        <rFont val="Noto Sans CJK SC"/>
        <family val="2"/>
      </rPr>
      <t xml:space="preserve">物品权重</t>
    </r>
  </si>
  <si>
    <t xml:space="preserve">weight_lv4_plus</t>
  </si>
  <si>
    <r>
      <rPr>
        <sz val="10"/>
        <rFont val="Noto Sans CJK SC"/>
        <family val="2"/>
      </rPr>
      <t xml:space="preserve">原料</t>
    </r>
    <r>
      <rPr>
        <sz val="10"/>
        <rFont val="Arial"/>
        <family val="0"/>
        <charset val="1"/>
      </rPr>
      <t xml:space="preserve">40%;</t>
    </r>
    <r>
      <rPr>
        <sz val="10"/>
        <rFont val="Noto Sans CJK SC"/>
        <family val="2"/>
      </rPr>
      <t xml:space="preserve">加工品</t>
    </r>
    <r>
      <rPr>
        <sz val="10"/>
        <rFont val="Arial"/>
        <family val="0"/>
        <charset val="1"/>
      </rPr>
      <t xml:space="preserve">60%</t>
    </r>
  </si>
  <si>
    <r>
      <rPr>
        <sz val="10"/>
        <rFont val="Arial"/>
        <family val="0"/>
        <charset val="1"/>
      </rPr>
      <t xml:space="preserve">Lv4 </t>
    </r>
    <r>
      <rPr>
        <sz val="10"/>
        <rFont val="Noto Sans CJK SC"/>
        <family val="2"/>
      </rPr>
      <t xml:space="preserve">起 物品权重</t>
    </r>
  </si>
  <si>
    <t xml:space="preserve">raw_count</t>
  </si>
  <si>
    <t xml:space="preserve">2~6</t>
  </si>
  <si>
    <r>
      <rPr>
        <sz val="10"/>
        <rFont val="Noto Sans CJK SC"/>
        <family val="2"/>
      </rPr>
      <t xml:space="preserve">原料数量范围（</t>
    </r>
    <r>
      <rPr>
        <sz val="10"/>
        <rFont val="Arial"/>
        <family val="0"/>
        <charset val="1"/>
      </rPr>
      <t xml:space="preserve">sell ≥ 30 </t>
    </r>
    <r>
      <rPr>
        <sz val="10"/>
        <rFont val="Noto Sans CJK SC"/>
        <family val="2"/>
      </rPr>
      <t xml:space="preserve">时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）</t>
    </r>
  </si>
  <si>
    <t xml:space="preserve">product_count</t>
  </si>
  <si>
    <t xml:space="preserve">1~3</t>
  </si>
  <si>
    <r>
      <rPr>
        <sz val="10"/>
        <rFont val="Noto Sans CJK SC"/>
        <family val="2"/>
      </rPr>
      <t xml:space="preserve">加工品数量范围（</t>
    </r>
    <r>
      <rPr>
        <sz val="10"/>
        <rFont val="Arial"/>
        <family val="0"/>
        <charset val="1"/>
      </rPr>
      <t xml:space="preserve">sell ≥ 130 </t>
    </r>
    <r>
      <rPr>
        <sz val="10"/>
        <rFont val="Noto Sans CJK SC"/>
        <family val="2"/>
      </rPr>
      <t xml:space="preserve">时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）</t>
    </r>
  </si>
  <si>
    <t xml:space="preserve">min_instant_orders</t>
  </si>
  <si>
    <r>
      <rPr>
        <sz val="10"/>
        <rFont val="Noto Sans CJK SC"/>
        <family val="2"/>
      </rPr>
      <t xml:space="preserve">至少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条订单为玩家当前可立即完成</t>
    </r>
  </si>
  <si>
    <r>
      <rPr>
        <b val="true"/>
        <sz val="14"/>
        <color rgb="FF1F3A5F"/>
        <rFont val="Noto Sans CJK SC"/>
        <family val="2"/>
      </rPr>
      <t xml:space="preserve">订单奖励计算器（读取 </t>
    </r>
    <r>
      <rPr>
        <b val="true"/>
        <sz val="14"/>
        <color rgb="FF1F3A5F"/>
        <rFont val="Arial"/>
        <family val="0"/>
        <charset val="1"/>
      </rPr>
      <t xml:space="preserve">Item </t>
    </r>
    <r>
      <rPr>
        <b val="true"/>
        <sz val="14"/>
        <color rgb="FF1F3A5F"/>
        <rFont val="Noto Sans CJK SC"/>
        <family val="2"/>
      </rPr>
      <t xml:space="preserve">售价与 </t>
    </r>
    <r>
      <rPr>
        <b val="true"/>
        <sz val="14"/>
        <color rgb="FF1F3A5F"/>
        <rFont val="Arial"/>
        <family val="0"/>
        <charset val="1"/>
      </rPr>
      <t xml:space="preserve">OrderRule </t>
    </r>
    <r>
      <rPr>
        <b val="true"/>
        <sz val="14"/>
        <color rgb="FF1F3A5F"/>
        <rFont val="Noto Sans CJK SC"/>
        <family val="2"/>
      </rPr>
      <t xml:space="preserve">参数）</t>
    </r>
  </si>
  <si>
    <r>
      <rPr>
        <i val="true"/>
        <sz val="9"/>
        <color rgb="FF595959"/>
        <rFont val="Noto Sans CJK SC"/>
        <family val="2"/>
      </rPr>
      <t xml:space="preserve">用法：在前 </t>
    </r>
    <r>
      <rPr>
        <i val="true"/>
        <sz val="9"/>
        <color rgb="FF595959"/>
        <rFont val="Arial"/>
        <family val="0"/>
        <charset val="1"/>
      </rPr>
      <t xml:space="preserve">6 </t>
    </r>
    <r>
      <rPr>
        <i val="true"/>
        <sz val="9"/>
        <color rgb="FF595959"/>
        <rFont val="Noto Sans CJK SC"/>
        <family val="2"/>
      </rPr>
      <t xml:space="preserve">个蓝色输入列填物品 </t>
    </r>
    <r>
      <rPr>
        <i val="true"/>
        <sz val="9"/>
        <color rgb="FF595959"/>
        <rFont val="Arial"/>
        <family val="0"/>
        <charset val="1"/>
      </rPr>
      <t xml:space="preserve">ID / </t>
    </r>
    <r>
      <rPr>
        <i val="true"/>
        <sz val="9"/>
        <color rgb="FF595959"/>
        <rFont val="Noto Sans CJK SC"/>
        <family val="2"/>
      </rPr>
      <t xml:space="preserve">数量与难度（</t>
    </r>
    <r>
      <rPr>
        <i val="true"/>
        <sz val="9"/>
        <color rgb="FF595959"/>
        <rFont val="Arial"/>
        <family val="0"/>
        <charset val="1"/>
      </rPr>
      <t xml:space="preserve">1 </t>
    </r>
    <r>
      <rPr>
        <i val="true"/>
        <sz val="9"/>
        <color rgb="FF595959"/>
        <rFont val="Noto Sans CJK SC"/>
        <family val="2"/>
      </rPr>
      <t xml:space="preserve">简单 </t>
    </r>
    <r>
      <rPr>
        <i val="true"/>
        <sz val="9"/>
        <color rgb="FF595959"/>
        <rFont val="Arial"/>
        <family val="0"/>
        <charset val="1"/>
      </rPr>
      <t xml:space="preserve">/ 2 </t>
    </r>
    <r>
      <rPr>
        <i val="true"/>
        <sz val="9"/>
        <color rgb="FF595959"/>
        <rFont val="Noto Sans CJK SC"/>
        <family val="2"/>
      </rPr>
      <t xml:space="preserve">普通 </t>
    </r>
    <r>
      <rPr>
        <i val="true"/>
        <sz val="9"/>
        <color rgb="FF595959"/>
        <rFont val="Arial"/>
        <family val="0"/>
        <charset val="1"/>
      </rPr>
      <t xml:space="preserve">/ 3 </t>
    </r>
    <r>
      <rPr>
        <i val="true"/>
        <sz val="9"/>
        <color rgb="FF595959"/>
        <rFont val="Noto Sans CJK SC"/>
        <family val="2"/>
      </rPr>
      <t xml:space="preserve">困难），后 </t>
    </r>
    <r>
      <rPr>
        <i val="true"/>
        <sz val="9"/>
        <color rgb="FF595959"/>
        <rFont val="Arial"/>
        <family val="0"/>
        <charset val="1"/>
      </rPr>
      <t xml:space="preserve">5 </t>
    </r>
    <r>
      <rPr>
        <i val="true"/>
        <sz val="9"/>
        <color rgb="FF595959"/>
        <rFont val="Noto Sans CJK SC"/>
        <family val="2"/>
      </rPr>
      <t xml:space="preserve">列为公式。留空 </t>
    </r>
    <r>
      <rPr>
        <i val="true"/>
        <sz val="9"/>
        <color rgb="FF595959"/>
        <rFont val="Arial"/>
        <family val="0"/>
        <charset val="1"/>
      </rPr>
      <t xml:space="preserve">H </t>
    </r>
    <r>
      <rPr>
        <i val="true"/>
        <sz val="9"/>
        <color rgb="FF595959"/>
        <rFont val="Noto Sans CJK SC"/>
        <family val="2"/>
      </rPr>
      <t xml:space="preserve">列则整行不计算。</t>
    </r>
  </si>
  <si>
    <t xml:space="preserve">订单描述</t>
  </si>
  <si>
    <t xml:space="preserve">item1_id</t>
  </si>
  <si>
    <t xml:space="preserve">n1</t>
  </si>
  <si>
    <t xml:space="preserve">item2_id</t>
  </si>
  <si>
    <t xml:space="preserve">n2</t>
  </si>
  <si>
    <t xml:space="preserve">item3_id</t>
  </si>
  <si>
    <t xml:space="preserve">n3</t>
  </si>
  <si>
    <t xml:space="preserve">难度</t>
  </si>
  <si>
    <r>
      <rPr>
        <b val="true"/>
        <sz val="10"/>
        <color rgb="FFFFFFFF"/>
        <rFont val="Arial"/>
        <family val="0"/>
        <charset val="1"/>
      </rPr>
      <t xml:space="preserve">V </t>
    </r>
    <r>
      <rPr>
        <b val="true"/>
        <sz val="10"/>
        <color rgb="FFFFFFFF"/>
        <rFont val="Noto Sans CJK SC"/>
        <family val="2"/>
      </rPr>
      <t xml:space="preserve">总价值</t>
    </r>
    <r>
      <rPr>
        <b val="true"/>
        <sz val="10"/>
        <color rgb="FFFFFFFF"/>
        <rFont val="Arial"/>
        <family val="0"/>
        <charset val="1"/>
      </rPr>
      <t xml:space="preserve">(G)</t>
    </r>
  </si>
  <si>
    <r>
      <rPr>
        <b val="true"/>
        <sz val="10"/>
        <color rgb="FFFFFFFF"/>
        <rFont val="Noto Sans CJK SC"/>
        <family val="2"/>
      </rPr>
      <t xml:space="preserve">系数 </t>
    </r>
    <r>
      <rPr>
        <b val="true"/>
        <sz val="10"/>
        <color rgb="FFFFFFFF"/>
        <rFont val="Arial"/>
        <family val="0"/>
        <charset val="1"/>
      </rPr>
      <t xml:space="preserve">k</t>
    </r>
  </si>
  <si>
    <t xml:space="preserve">金币奖励</t>
  </si>
  <si>
    <t xml:space="preserve">经验奖励</t>
  </si>
  <si>
    <t xml:space="preserve">稀有加成金币</t>
  </si>
  <si>
    <r>
      <rPr>
        <sz val="10"/>
        <rFont val="Noto Sans CJK SC"/>
        <family val="2"/>
      </rPr>
      <t xml:space="preserve">小麦 </t>
    </r>
    <r>
      <rPr>
        <sz val="10"/>
        <rFont val="Arial"/>
        <family val="0"/>
        <charset val="1"/>
      </rPr>
      <t xml:space="preserve">×6</t>
    </r>
  </si>
  <si>
    <r>
      <rPr>
        <sz val="10"/>
        <rFont val="Noto Sans CJK SC"/>
        <family val="2"/>
      </rPr>
      <t xml:space="preserve">面包 </t>
    </r>
    <r>
      <rPr>
        <sz val="10"/>
        <rFont val="Arial"/>
        <family val="0"/>
        <charset val="1"/>
      </rPr>
      <t xml:space="preserve">×2</t>
    </r>
  </si>
  <si>
    <r>
      <rPr>
        <sz val="10"/>
        <rFont val="Noto Sans CJK SC"/>
        <family val="2"/>
      </rPr>
      <t xml:space="preserve">蔬菜汤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番茄酱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花束 </t>
    </r>
    <r>
      <rPr>
        <sz val="10"/>
        <rFont val="Arial"/>
        <family val="0"/>
        <charset val="1"/>
      </rPr>
      <t xml:space="preserve">×2</t>
    </r>
  </si>
  <si>
    <r>
      <rPr>
        <sz val="10"/>
        <rFont val="Noto Sans CJK SC"/>
        <family val="2"/>
      </rPr>
      <t xml:space="preserve">草莓蛋糕 </t>
    </r>
    <r>
      <rPr>
        <sz val="10"/>
        <rFont val="Arial"/>
        <family val="0"/>
        <charset val="1"/>
      </rPr>
      <t xml:space="preserve">×2 + </t>
    </r>
    <r>
      <rPr>
        <sz val="10"/>
        <rFont val="Noto Sans CJK SC"/>
        <family val="2"/>
      </rPr>
      <t xml:space="preserve">南瓜派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玉米饼</t>
    </r>
  </si>
  <si>
    <t xml:space="preserve">sizeW</t>
  </si>
  <si>
    <t xml:space="preserve">sizeH</t>
  </si>
  <si>
    <t xml:space="preserve">price</t>
  </si>
  <si>
    <t xml:space="preserve">comfort</t>
  </si>
  <si>
    <t xml:space="preserve">#area</t>
  </si>
  <si>
    <t xml:space="preserve">#goldPerComfort</t>
  </si>
  <si>
    <r>
      <rPr>
        <b val="true"/>
        <sz val="10"/>
        <rFont val="Noto Sans CJK SC"/>
        <family val="2"/>
      </rPr>
      <t xml:space="preserve">家具</t>
    </r>
    <r>
      <rPr>
        <b val="true"/>
        <sz val="10"/>
        <rFont val="Arial"/>
        <family val="0"/>
        <charset val="1"/>
      </rPr>
      <t xml:space="preserve">ID</t>
    </r>
  </si>
  <si>
    <t xml:space="preserve">占格宽</t>
  </si>
  <si>
    <t xml:space="preserve">占格高</t>
  </si>
  <si>
    <r>
      <rPr>
        <b val="true"/>
        <sz val="10"/>
        <rFont val="Noto Sans CJK SC"/>
        <family val="2"/>
      </rPr>
      <t xml:space="preserve">价格</t>
    </r>
    <r>
      <rPr>
        <b val="true"/>
        <sz val="10"/>
        <rFont val="Arial"/>
        <family val="0"/>
        <charset val="1"/>
      </rPr>
      <t xml:space="preserve">(G)</t>
    </r>
  </si>
  <si>
    <t xml:space="preserve">舒适度</t>
  </si>
  <si>
    <t xml:space="preserve">占格面积</t>
  </si>
  <si>
    <r>
      <rPr>
        <b val="true"/>
        <sz val="10"/>
        <rFont val="Noto Sans CJK SC"/>
        <family val="2"/>
      </rPr>
      <t xml:space="preserve">每点舒适度价格</t>
    </r>
    <r>
      <rPr>
        <b val="true"/>
        <sz val="10"/>
        <rFont val="Arial"/>
        <family val="0"/>
        <charset val="1"/>
      </rPr>
      <t xml:space="preserve">(G)</t>
    </r>
  </si>
  <si>
    <t xml:space="preserve">木栅栏</t>
  </si>
  <si>
    <t xml:space="preserve">花盆</t>
  </si>
  <si>
    <t xml:space="preserve">长椅</t>
  </si>
  <si>
    <t xml:space="preserve">路灯</t>
  </si>
  <si>
    <t xml:space="preserve">小树</t>
  </si>
  <si>
    <t xml:space="preserve">石桌椅</t>
  </si>
  <si>
    <t xml:space="preserve">地毯</t>
  </si>
  <si>
    <t xml:space="preserve">秋千</t>
  </si>
  <si>
    <t xml:space="preserve">凉亭</t>
  </si>
  <si>
    <t xml:space="preserve">喷泉</t>
  </si>
  <si>
    <t xml:space="preserve">part</t>
  </si>
  <si>
    <t xml:space="preserve">rarity</t>
  </si>
  <si>
    <t xml:space="preserve">source</t>
  </si>
  <si>
    <t xml:space="preserve">poolGroup</t>
  </si>
  <si>
    <t xml:space="preserve">isUp</t>
  </si>
  <si>
    <r>
      <rPr>
        <b val="true"/>
        <sz val="10"/>
        <rFont val="Noto Sans CJK SC"/>
        <family val="2"/>
      </rPr>
      <t xml:space="preserve">外观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</si>
  <si>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部位</t>
    </r>
    <r>
      <rPr>
        <b val="true"/>
        <sz val="10"/>
        <rFont val="Arial"/>
        <family val="0"/>
        <charset val="1"/>
      </rPr>
      <t xml:space="preserve">(hair/top/bottom/shoes/hat/acc/dress)</t>
    </r>
  </si>
  <si>
    <t xml:space="preserve">稀有度</t>
  </si>
  <si>
    <r>
      <rPr>
        <b val="true"/>
        <sz val="10"/>
        <rFont val="Noto Sans CJK SC"/>
        <family val="2"/>
      </rPr>
      <t xml:space="preserve">商店价</t>
    </r>
    <r>
      <rPr>
        <b val="true"/>
        <sz val="10"/>
        <rFont val="Arial"/>
        <family val="0"/>
        <charset val="1"/>
      </rPr>
      <t xml:space="preserve">(G)</t>
    </r>
  </si>
  <si>
    <r>
      <rPr>
        <b val="true"/>
        <sz val="10"/>
        <rFont val="Noto Sans CJK SC"/>
        <family val="2"/>
      </rPr>
      <t xml:space="preserve">所属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常驻</t>
    </r>
    <r>
      <rPr>
        <b val="true"/>
        <sz val="10"/>
        <rFont val="Arial"/>
        <family val="0"/>
        <charset val="1"/>
      </rPr>
      <t xml:space="preserve">/P02)</t>
    </r>
  </si>
  <si>
    <r>
      <rPr>
        <b val="true"/>
        <sz val="10"/>
        <rFont val="Noto Sans CJK SC"/>
        <family val="2"/>
      </rPr>
      <t xml:space="preserve">是否限时池</t>
    </r>
    <r>
      <rPr>
        <b val="true"/>
        <sz val="10"/>
        <rFont val="Arial"/>
        <family val="0"/>
        <charset val="1"/>
      </rPr>
      <t xml:space="preserve">UP(0/1)</t>
    </r>
  </si>
  <si>
    <r>
      <rPr>
        <sz val="10"/>
        <rFont val="Noto Sans CJK SC"/>
        <family val="2"/>
      </rPr>
      <t xml:space="preserve">短发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黑</t>
    </r>
  </si>
  <si>
    <t xml:space="preserve">hair</t>
  </si>
  <si>
    <t xml:space="preserve">N</t>
  </si>
  <si>
    <t xml:space="preserve">初始</t>
  </si>
  <si>
    <t xml:space="preserve">常驻</t>
  </si>
  <si>
    <r>
      <rPr>
        <sz val="10"/>
        <rFont val="Noto Sans CJK SC"/>
        <family val="2"/>
      </rPr>
      <t xml:space="preserve">双马尾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棕</t>
    </r>
  </si>
  <si>
    <t xml:space="preserve">商店</t>
  </si>
  <si>
    <r>
      <rPr>
        <sz val="10"/>
        <rFont val="Noto Sans CJK SC"/>
        <family val="2"/>
      </rPr>
      <t xml:space="preserve">卷发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栗</t>
    </r>
  </si>
  <si>
    <t xml:space="preserve">R</t>
  </si>
  <si>
    <r>
      <rPr>
        <sz val="10"/>
        <rFont val="Noto Sans CJK SC"/>
        <family val="2"/>
      </rPr>
      <t xml:space="preserve">长发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樱粉</t>
    </r>
  </si>
  <si>
    <t xml:space="preserve">SR</t>
  </si>
  <si>
    <t xml:space="preserve">星光长发</t>
  </si>
  <si>
    <t xml:space="preserve">SSR</t>
  </si>
  <si>
    <r>
      <rPr>
        <sz val="10"/>
        <rFont val="Noto Sans CJK SC"/>
        <family val="2"/>
      </rPr>
      <t xml:space="preserve">白色 </t>
    </r>
    <r>
      <rPr>
        <sz val="10"/>
        <rFont val="Arial"/>
        <family val="0"/>
        <charset val="1"/>
      </rPr>
      <t xml:space="preserve">T </t>
    </r>
    <r>
      <rPr>
        <sz val="10"/>
        <rFont val="Noto Sans CJK SC"/>
        <family val="2"/>
      </rPr>
      <t xml:space="preserve">恤</t>
    </r>
  </si>
  <si>
    <t xml:space="preserve">top</t>
  </si>
  <si>
    <t xml:space="preserve">条纹衫</t>
  </si>
  <si>
    <t xml:space="preserve">针织背心</t>
  </si>
  <si>
    <t xml:space="preserve">工装外套</t>
  </si>
  <si>
    <t xml:space="preserve">刺绣衬衫</t>
  </si>
  <si>
    <t xml:space="preserve">牛仔短裤</t>
  </si>
  <si>
    <t xml:space="preserve">bottom</t>
  </si>
  <si>
    <t xml:space="preserve">格子裙</t>
  </si>
  <si>
    <t xml:space="preserve">工装长裤</t>
  </si>
  <si>
    <t xml:space="preserve">百褶裙</t>
  </si>
  <si>
    <t xml:space="preserve">灯笼裤</t>
  </si>
  <si>
    <t xml:space="preserve">帆布鞋</t>
  </si>
  <si>
    <t xml:space="preserve">shoes</t>
  </si>
  <si>
    <t xml:space="preserve">小皮靴</t>
  </si>
  <si>
    <t xml:space="preserve">绒毛靴</t>
  </si>
  <si>
    <t xml:space="preserve">云朵运动鞋</t>
  </si>
  <si>
    <t xml:space="preserve">无帽</t>
  </si>
  <si>
    <t xml:space="preserve">hat</t>
  </si>
  <si>
    <t xml:space="preserve">贝雷帽</t>
  </si>
  <si>
    <t xml:space="preserve">渔夫帽</t>
  </si>
  <si>
    <t xml:space="preserve">兔耳发箍</t>
  </si>
  <si>
    <t xml:space="preserve">月光皇冠</t>
  </si>
  <si>
    <t xml:space="preserve">无饰品</t>
  </si>
  <si>
    <t xml:space="preserve">acc</t>
  </si>
  <si>
    <t xml:space="preserve">圆框眼镜</t>
  </si>
  <si>
    <t xml:space="preserve">小背包</t>
  </si>
  <si>
    <t xml:space="preserve">蝴蝶结</t>
  </si>
  <si>
    <t xml:space="preserve">云朵翅膀</t>
  </si>
  <si>
    <t xml:space="preserve">星河长裙</t>
  </si>
  <si>
    <t xml:space="preserve">dress</t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</si>
  <si>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连衣裙</t>
    </r>
  </si>
  <si>
    <t xml:space="preserve">P02</t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</si>
  <si>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草帽</t>
    </r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</si>
  <si>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格纹披肩</t>
    </r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</si>
  <si>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编织篮</t>
    </r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</si>
  <si>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凉鞋</t>
    </r>
  </si>
  <si>
    <r>
      <rPr>
        <sz val="10"/>
        <rFont val="Noto Sans CJK SC"/>
        <family val="2"/>
      </rPr>
      <t xml:space="preserve">春日野餐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丝带</t>
    </r>
  </si>
  <si>
    <t xml:space="preserve">ssr_rate</t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</si>
  <si>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基础概率</t>
    </r>
  </si>
  <si>
    <t xml:space="preserve">sr_rate</t>
  </si>
  <si>
    <r>
      <rPr>
        <sz val="10"/>
        <rFont val="Arial"/>
        <family val="0"/>
        <charset val="1"/>
      </rPr>
      <t xml:space="preserve">SR </t>
    </r>
    <r>
      <rPr>
        <sz val="10"/>
        <rFont val="Noto Sans CJK SC"/>
        <family val="2"/>
      </rPr>
      <t xml:space="preserve">基础概率</t>
    </r>
  </si>
  <si>
    <t xml:space="preserve">r_rate</t>
  </si>
  <si>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基础概率</t>
    </r>
  </si>
  <si>
    <t xml:space="preserve">n_rate</t>
  </si>
  <si>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基础概率</t>
    </r>
  </si>
  <si>
    <t xml:space="preserve">soft_pity_start</t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</si>
  <si>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软保底起点（第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抽起概率递增）</t>
    </r>
  </si>
  <si>
    <t xml:space="preserve">soft_pity_step</t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</si>
  <si>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软保底每抽增幅</t>
    </r>
  </si>
  <si>
    <t xml:space="preserve">hard_pity</t>
  </si>
  <si>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硬保底（第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抽必出）</t>
    </r>
  </si>
  <si>
    <t xml:space="preserve">sr_pity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</si>
  <si>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抽至少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SR </t>
    </r>
    <r>
      <rPr>
        <sz val="10"/>
        <rFont val="Noto Sans CJK SC"/>
        <family val="2"/>
      </rPr>
      <t xml:space="preserve">及以上</t>
    </r>
  </si>
  <si>
    <t xml:space="preserve">up_rate</t>
  </si>
  <si>
    <r>
      <rPr>
        <sz val="10"/>
        <rFont val="Noto Sans CJK SC"/>
        <family val="2"/>
      </rPr>
      <t xml:space="preserve">出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时为 </t>
    </r>
    <r>
      <rPr>
        <sz val="10"/>
        <rFont val="Arial"/>
        <family val="0"/>
        <charset val="1"/>
      </rPr>
      <t xml:space="preserve">UP </t>
    </r>
    <r>
      <rPr>
        <sz val="10"/>
        <rFont val="Noto Sans CJK SC"/>
        <family val="2"/>
      </rPr>
      <t xml:space="preserve">的概率</t>
    </r>
  </si>
  <si>
    <t xml:space="preserve">up_guarantee</t>
  </si>
  <si>
    <r>
      <rPr>
        <sz val="10"/>
        <rFont val="Noto Sans CJK SC"/>
        <family val="2"/>
      </rPr>
      <t xml:space="preserve">是否启用大保底（未中 </t>
    </r>
    <r>
      <rPr>
        <sz val="10"/>
        <rFont val="Arial"/>
        <family val="0"/>
        <charset val="1"/>
      </rPr>
      <t xml:space="preserve">UP </t>
    </r>
    <r>
      <rPr>
        <sz val="10"/>
        <rFont val="Noto Sans CJK SC"/>
        <family val="2"/>
      </rPr>
      <t xml:space="preserve">则下个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必为 </t>
    </r>
    <r>
      <rPr>
        <sz val="10"/>
        <rFont val="Arial"/>
        <family val="0"/>
        <charset val="1"/>
      </rPr>
      <t xml:space="preserve">UP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</si>
  <si>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t xml:space="preserve">cost_ticket</t>
  </si>
  <si>
    <t xml:space="preserve">单抽消耗抽卡券</t>
  </si>
  <si>
    <t xml:space="preserve">cost_gem</t>
  </si>
  <si>
    <t xml:space="preserve">单抽消耗钻石</t>
  </si>
  <si>
    <t xml:space="preserve">shard_n</t>
  </si>
  <si>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N </t>
    </r>
    <r>
      <rPr>
        <sz val="10"/>
        <rFont val="Noto Sans CJK SC"/>
        <family val="2"/>
      </rPr>
      <t xml:space="preserve">转碎片</t>
    </r>
  </si>
  <si>
    <t xml:space="preserve">shard_r</t>
  </si>
  <si>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转碎片</t>
    </r>
  </si>
  <si>
    <t xml:space="preserve">shard_sr</t>
  </si>
  <si>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SR </t>
    </r>
    <r>
      <rPr>
        <sz val="10"/>
        <rFont val="Noto Sans CJK SC"/>
        <family val="2"/>
      </rPr>
      <t xml:space="preserve">转碎片</t>
    </r>
  </si>
  <si>
    <t xml:space="preserve">shard_ssr</t>
  </si>
  <si>
    <r>
      <rPr>
        <sz val="10"/>
        <rFont val="Noto Sans CJK SC"/>
        <family val="2"/>
      </rPr>
      <t xml:space="preserve">重复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转碎片</t>
    </r>
  </si>
  <si>
    <t xml:space="preserve">log_keep</t>
  </si>
  <si>
    <t xml:space="preserve">抽卡记录保留条数</t>
  </si>
  <si>
    <t xml:space="preserve">pull_times_allowed</t>
  </si>
  <si>
    <t xml:space="preserve">1;10</t>
  </si>
  <si>
    <t xml:space="preserve">允许的单次抽数</t>
  </si>
  <si>
    <t xml:space="preserve">poolId</t>
  </si>
  <si>
    <t xml:space="preserve">activityId</t>
  </si>
  <si>
    <t xml:space="preserve">upItemIds</t>
  </si>
  <si>
    <t xml:space="preserve">hasUp</t>
  </si>
  <si>
    <r>
      <rPr>
        <b val="true"/>
        <sz val="10"/>
        <rFont val="Noto Sans CJK SC"/>
        <family val="2"/>
      </rPr>
      <t xml:space="preserve">卡池</t>
    </r>
    <r>
      <rPr>
        <b val="true"/>
        <sz val="10"/>
        <rFont val="Arial"/>
        <family val="0"/>
        <charset val="1"/>
      </rPr>
      <t xml:space="preserve">ID</t>
    </r>
  </si>
  <si>
    <t xml:space="preserve">关联活动</t>
  </si>
  <si>
    <r>
      <rPr>
        <b val="true"/>
        <sz val="10"/>
        <rFont val="Arial"/>
        <family val="0"/>
        <charset val="1"/>
      </rPr>
      <t xml:space="preserve">UP </t>
    </r>
    <r>
      <rPr>
        <b val="true"/>
        <sz val="10"/>
        <rFont val="Noto Sans CJK SC"/>
        <family val="2"/>
      </rPr>
      <t xml:space="preserve">物品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</si>
  <si>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是否有</t>
    </r>
    <r>
      <rPr>
        <b val="true"/>
        <sz val="10"/>
        <rFont val="Arial"/>
        <family val="0"/>
        <charset val="1"/>
      </rPr>
      <t xml:space="preserve">UP(0/1)</t>
    </r>
  </si>
  <si>
    <t xml:space="preserve">P01</t>
  </si>
  <si>
    <t xml:space="preserve">常驻池</t>
  </si>
  <si>
    <t xml:space="preserve">春日野餐</t>
  </si>
  <si>
    <t xml:space="preserve">限时</t>
  </si>
  <si>
    <t xml:space="preserve">A001</t>
  </si>
  <si>
    <t xml:space="preserve">7101;7102</t>
  </si>
  <si>
    <t xml:space="preserve">weight</t>
  </si>
  <si>
    <t xml:space="preserve">#shareInGroup</t>
  </si>
  <si>
    <t xml:space="preserve">#itemName</t>
  </si>
  <si>
    <t xml:space="preserve">池内权重</t>
  </si>
  <si>
    <r>
      <rPr>
        <b val="true"/>
        <sz val="10"/>
        <rFont val="Arial"/>
        <family val="0"/>
        <charset val="1"/>
      </rPr>
      <t xml:space="preserve">UP </t>
    </r>
    <r>
      <rPr>
        <b val="true"/>
        <sz val="10"/>
        <rFont val="Noto Sans CJK SC"/>
        <family val="2"/>
      </rPr>
      <t xml:space="preserve">组</t>
    </r>
    <r>
      <rPr>
        <b val="true"/>
        <sz val="10"/>
        <rFont val="Arial"/>
        <family val="0"/>
        <charset val="1"/>
      </rPr>
      <t xml:space="preserve">(0/1)</t>
    </r>
  </si>
  <si>
    <t xml:space="preserve">组内占比</t>
  </si>
  <si>
    <t xml:space="preserve">外观名称</t>
  </si>
  <si>
    <r>
      <rPr>
        <b val="true"/>
        <sz val="14"/>
        <color rgb="FF1F3A5F"/>
        <rFont val="Arial"/>
        <family val="0"/>
        <charset val="1"/>
      </rPr>
      <t xml:space="preserve">SSR </t>
    </r>
    <r>
      <rPr>
        <b val="true"/>
        <sz val="14"/>
        <color rgb="FF1F3A5F"/>
        <rFont val="Noto Sans CJK SC"/>
        <family val="2"/>
      </rPr>
      <t xml:space="preserve">保底概率模型（全部由公式计算，参数来自 </t>
    </r>
    <r>
      <rPr>
        <b val="true"/>
        <sz val="14"/>
        <color rgb="FF1F3A5F"/>
        <rFont val="Arial"/>
        <family val="0"/>
        <charset val="1"/>
      </rPr>
      <t xml:space="preserve">GachaRule</t>
    </r>
    <r>
      <rPr>
        <b val="true"/>
        <sz val="14"/>
        <color rgb="FF1F3A5F"/>
        <rFont val="Noto Sans CJK SC"/>
        <family val="2"/>
      </rPr>
      <t xml:space="preserve">）</t>
    </r>
  </si>
  <si>
    <r>
      <rPr>
        <i val="true"/>
        <sz val="9"/>
        <color rgb="FF595959"/>
        <rFont val="Noto Sans CJK SC"/>
        <family val="2"/>
      </rPr>
      <t xml:space="preserve">模型：基础概率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软保底（起点后每抽递增）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Noto Sans CJK SC"/>
        <family val="2"/>
      </rPr>
      <t xml:space="preserve">硬保底；不含 </t>
    </r>
    <r>
      <rPr>
        <i val="true"/>
        <sz val="9"/>
        <color rgb="FF595959"/>
        <rFont val="Arial"/>
        <family val="0"/>
        <charset val="1"/>
      </rPr>
      <t xml:space="preserve">UP </t>
    </r>
    <r>
      <rPr>
        <i val="true"/>
        <sz val="9"/>
        <color rgb="FF595959"/>
        <rFont val="Noto Sans CJK SC"/>
        <family val="2"/>
      </rPr>
      <t xml:space="preserve">逻辑。第 </t>
    </r>
    <r>
      <rPr>
        <i val="true"/>
        <sz val="9"/>
        <color rgb="FF595959"/>
        <rFont val="Arial"/>
        <family val="0"/>
        <charset val="1"/>
      </rPr>
      <t xml:space="preserve">n </t>
    </r>
    <r>
      <rPr>
        <i val="true"/>
        <sz val="9"/>
        <color rgb="FF595959"/>
        <rFont val="Noto Sans CJK SC"/>
        <family val="2"/>
      </rPr>
      <t xml:space="preserve">抽出 </t>
    </r>
    <r>
      <rPr>
        <i val="true"/>
        <sz val="9"/>
        <color rgb="FF595959"/>
        <rFont val="Arial"/>
        <family val="0"/>
        <charset val="1"/>
      </rPr>
      <t xml:space="preserve">SSR </t>
    </r>
    <r>
      <rPr>
        <i val="true"/>
        <sz val="9"/>
        <color rgb="FF595959"/>
        <rFont val="Noto Sans CJK SC"/>
        <family val="2"/>
      </rPr>
      <t xml:space="preserve">概率 </t>
    </r>
    <r>
      <rPr>
        <i val="true"/>
        <sz val="9"/>
        <color rgb="FF595959"/>
        <rFont val="Arial"/>
        <family val="0"/>
        <charset val="1"/>
      </rPr>
      <t xml:space="preserve">p(n) </t>
    </r>
    <r>
      <rPr>
        <i val="true"/>
        <sz val="9"/>
        <color rgb="FF595959"/>
        <rFont val="Noto Sans CJK SC"/>
        <family val="2"/>
      </rPr>
      <t xml:space="preserve">见下表。</t>
    </r>
  </si>
  <si>
    <t xml:space="preserve">结果</t>
  </si>
  <si>
    <t xml:space="preserve">基础概率</t>
  </si>
  <si>
    <t xml:space="preserve">软保底起点</t>
  </si>
  <si>
    <r>
      <rPr>
        <sz val="10"/>
        <rFont val="Arial"/>
        <family val="0"/>
        <charset val="1"/>
      </rPr>
      <t xml:space="preserve">N1 </t>
    </r>
    <r>
      <rPr>
        <sz val="10"/>
        <rFont val="Noto Sans CJK SC"/>
        <family val="2"/>
      </rPr>
      <t xml:space="preserve">抽内出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概率</t>
    </r>
  </si>
  <si>
    <t xml:space="preserve">软保底每抽增幅</t>
  </si>
  <si>
    <r>
      <rPr>
        <sz val="10"/>
        <rFont val="Arial"/>
        <family val="0"/>
        <charset val="1"/>
      </rPr>
      <t xml:space="preserve">N2 </t>
    </r>
    <r>
      <rPr>
        <sz val="10"/>
        <rFont val="Noto Sans CJK SC"/>
        <family val="2"/>
      </rPr>
      <t xml:space="preserve">抽内出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概率</t>
    </r>
  </si>
  <si>
    <t xml:space="preserve">硬保底</t>
  </si>
  <si>
    <r>
      <rPr>
        <sz val="10"/>
        <rFont val="Noto Sans CJK SC"/>
        <family val="2"/>
      </rPr>
      <t xml:space="preserve">综合 </t>
    </r>
    <r>
      <rPr>
        <sz val="10"/>
        <rFont val="Arial"/>
        <family val="0"/>
        <charset val="1"/>
      </rPr>
      <t xml:space="preserve">SSR </t>
    </r>
    <r>
      <rPr>
        <sz val="10"/>
        <rFont val="Noto Sans CJK SC"/>
        <family val="2"/>
      </rPr>
      <t xml:space="preserve">出率（含保底）</t>
    </r>
  </si>
  <si>
    <r>
      <rPr>
        <sz val="10"/>
        <rFont val="Arial"/>
        <family val="0"/>
        <charset val="1"/>
      </rPr>
      <t xml:space="preserve">UP </t>
    </r>
    <r>
      <rPr>
        <sz val="10"/>
        <rFont val="Noto Sans CJK SC"/>
        <family val="2"/>
      </rPr>
      <t xml:space="preserve">概率</t>
    </r>
  </si>
  <si>
    <r>
      <rPr>
        <sz val="10"/>
        <rFont val="Noto Sans CJK SC"/>
        <family val="2"/>
      </rPr>
      <t xml:space="preserve">平均出 </t>
    </r>
    <r>
      <rPr>
        <sz val="10"/>
        <rFont val="Arial"/>
        <family val="0"/>
        <charset val="1"/>
      </rPr>
      <t xml:space="preserve">UP </t>
    </r>
    <r>
      <rPr>
        <sz val="10"/>
        <rFont val="Noto Sans CJK SC"/>
        <family val="2"/>
      </rPr>
      <t xml:space="preserve">所需抽数（含大保底）</t>
    </r>
  </si>
  <si>
    <r>
      <rPr>
        <sz val="10"/>
        <rFont val="Noto Sans CJK SC"/>
        <family val="2"/>
      </rPr>
      <t xml:space="preserve">查询抽数 </t>
    </r>
    <r>
      <rPr>
        <sz val="10"/>
        <rFont val="Arial"/>
        <family val="0"/>
        <charset val="1"/>
      </rPr>
      <t xml:space="preserve">N1</t>
    </r>
    <r>
      <rPr>
        <sz val="10"/>
        <rFont val="Noto Sans CJK SC"/>
        <family val="2"/>
      </rPr>
      <t xml:space="preserve">（可改）</t>
    </r>
  </si>
  <si>
    <r>
      <rPr>
        <sz val="10"/>
        <rFont val="Noto Sans CJK SC"/>
        <family val="2"/>
      </rPr>
      <t xml:space="preserve">概率分布求和（应为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</si>
  <si>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查询抽数 </t>
    </r>
    <r>
      <rPr>
        <sz val="10"/>
        <rFont val="Arial"/>
        <family val="0"/>
        <charset val="1"/>
      </rPr>
      <t xml:space="preserve">N2</t>
    </r>
    <r>
      <rPr>
        <sz val="10"/>
        <rFont val="Noto Sans CJK SC"/>
        <family val="2"/>
      </rPr>
      <t xml:space="preserve">（可改）</t>
    </r>
  </si>
  <si>
    <r>
      <rPr>
        <i val="true"/>
        <sz val="9"/>
        <color rgb="FF595959"/>
        <rFont val="Noto Sans CJK SC"/>
        <family val="2"/>
      </rPr>
      <t xml:space="preserve">说明：</t>
    </r>
    <r>
      <rPr>
        <i val="true"/>
        <sz val="9"/>
        <color rgb="FF595959"/>
        <rFont val="Arial"/>
        <family val="0"/>
        <charset val="1"/>
      </rPr>
      <t xml:space="preserve">SR </t>
    </r>
    <r>
      <rPr>
        <i val="true"/>
        <sz val="9"/>
        <color rgb="FF595959"/>
        <rFont val="Noto Sans CJK SC"/>
        <family val="2"/>
      </rPr>
      <t xml:space="preserve">综合出率等需要 </t>
    </r>
    <r>
      <rPr>
        <i val="true"/>
        <sz val="9"/>
        <color rgb="FF595959"/>
        <rFont val="Arial"/>
        <family val="0"/>
        <charset val="1"/>
      </rPr>
      <t xml:space="preserve">SR </t>
    </r>
    <r>
      <rPr>
        <i val="true"/>
        <sz val="9"/>
        <color rgb="FF595959"/>
        <rFont val="Noto Sans CJK SC"/>
        <family val="2"/>
      </rPr>
      <t xml:space="preserve">保底与 </t>
    </r>
    <r>
      <rPr>
        <i val="true"/>
        <sz val="9"/>
        <color rgb="FF595959"/>
        <rFont val="Arial"/>
        <family val="0"/>
        <charset val="1"/>
      </rPr>
      <t xml:space="preserve">SSR </t>
    </r>
    <r>
      <rPr>
        <i val="true"/>
        <sz val="9"/>
        <color rgb="FF595959"/>
        <rFont val="Noto Sans CJK SC"/>
        <family val="2"/>
      </rPr>
      <t xml:space="preserve">保底联动，用蒙特卡洛脚本模拟（</t>
    </r>
    <r>
      <rPr>
        <i val="true"/>
        <sz val="9"/>
        <color rgb="FF595959"/>
        <rFont val="Arial"/>
        <family val="0"/>
        <charset val="1"/>
      </rPr>
      <t xml:space="preserve">200,000 </t>
    </r>
    <r>
      <rPr>
        <i val="true"/>
        <sz val="9"/>
        <color rgb="FF595959"/>
        <rFont val="Noto Sans CJK SC"/>
        <family val="2"/>
      </rPr>
      <t xml:space="preserve">次），结果见『校验』表的静态参考值。</t>
    </r>
  </si>
  <si>
    <r>
      <rPr>
        <b val="true"/>
        <sz val="10"/>
        <color rgb="FFFFFFFF"/>
        <rFont val="Arial"/>
        <family val="0"/>
        <charset val="1"/>
      </rPr>
      <t xml:space="preserve">n</t>
    </r>
    <r>
      <rPr>
        <b val="true"/>
        <sz val="10"/>
        <color rgb="FFFFFFFF"/>
        <rFont val="Noto Sans CJK SC"/>
        <family val="2"/>
      </rPr>
      <t xml:space="preserve">（距上次 </t>
    </r>
    <r>
      <rPr>
        <b val="true"/>
        <sz val="10"/>
        <color rgb="FFFFFFFF"/>
        <rFont val="Arial"/>
        <family val="0"/>
        <charset val="1"/>
      </rPr>
      <t xml:space="preserve">SSR </t>
    </r>
    <r>
      <rPr>
        <b val="true"/>
        <sz val="10"/>
        <color rgb="FFFFFFFF"/>
        <rFont val="Noto Sans CJK SC"/>
        <family val="2"/>
      </rPr>
      <t xml:space="preserve">的第几抽）</t>
    </r>
  </si>
  <si>
    <r>
      <rPr>
        <b val="true"/>
        <sz val="10"/>
        <color rgb="FFFFFFFF"/>
        <rFont val="Arial"/>
        <family val="0"/>
        <charset val="1"/>
      </rPr>
      <t xml:space="preserve">p(n) </t>
    </r>
    <r>
      <rPr>
        <b val="true"/>
        <sz val="10"/>
        <color rgb="FFFFFFFF"/>
        <rFont val="Noto Sans CJK SC"/>
        <family val="2"/>
      </rPr>
      <t xml:space="preserve">本抽出 </t>
    </r>
    <r>
      <rPr>
        <b val="true"/>
        <sz val="10"/>
        <color rgb="FFFFFFFF"/>
        <rFont val="Arial"/>
        <family val="0"/>
        <charset val="1"/>
      </rPr>
      <t xml:space="preserve">SSR </t>
    </r>
    <r>
      <rPr>
        <b val="true"/>
        <sz val="10"/>
        <color rgb="FFFFFFFF"/>
        <rFont val="Noto Sans CJK SC"/>
        <family val="2"/>
      </rPr>
      <t xml:space="preserve">概率</t>
    </r>
  </si>
  <si>
    <r>
      <rPr>
        <b val="true"/>
        <sz val="10"/>
        <color rgb="FFFFFFFF"/>
        <rFont val="Noto Sans CJK SC"/>
        <family val="2"/>
      </rPr>
      <t xml:space="preserve">前 </t>
    </r>
    <r>
      <rPr>
        <b val="true"/>
        <sz val="10"/>
        <color rgb="FFFFFFFF"/>
        <rFont val="Arial"/>
        <family val="0"/>
        <charset val="1"/>
      </rPr>
      <t xml:space="preserve">n−1 </t>
    </r>
    <r>
      <rPr>
        <b val="true"/>
        <sz val="10"/>
        <color rgb="FFFFFFFF"/>
        <rFont val="Noto Sans CJK SC"/>
        <family val="2"/>
      </rPr>
      <t xml:space="preserve">抽均未出 </t>
    </r>
    <r>
      <rPr>
        <b val="true"/>
        <sz val="10"/>
        <color rgb="FFFFFFFF"/>
        <rFont val="Arial"/>
        <family val="0"/>
        <charset val="1"/>
      </rPr>
      <t xml:space="preserve">SSR </t>
    </r>
    <r>
      <rPr>
        <b val="true"/>
        <sz val="10"/>
        <color rgb="FFFFFFFF"/>
        <rFont val="Noto Sans CJK SC"/>
        <family val="2"/>
      </rPr>
      <t xml:space="preserve">的概率</t>
    </r>
  </si>
  <si>
    <r>
      <rPr>
        <b val="true"/>
        <sz val="10"/>
        <color rgb="FFFFFFFF"/>
        <rFont val="Noto Sans CJK SC"/>
        <family val="2"/>
      </rPr>
      <t xml:space="preserve">恰好第 </t>
    </r>
    <r>
      <rPr>
        <b val="true"/>
        <sz val="10"/>
        <color rgb="FFFFFFFF"/>
        <rFont val="Arial"/>
        <family val="0"/>
        <charset val="1"/>
      </rPr>
      <t xml:space="preserve">n </t>
    </r>
    <r>
      <rPr>
        <b val="true"/>
        <sz val="10"/>
        <color rgb="FFFFFFFF"/>
        <rFont val="Noto Sans CJK SC"/>
        <family val="2"/>
      </rPr>
      <t xml:space="preserve">抽首次出 </t>
    </r>
    <r>
      <rPr>
        <b val="true"/>
        <sz val="10"/>
        <color rgb="FFFFFFFF"/>
        <rFont val="Arial"/>
        <family val="0"/>
        <charset val="1"/>
      </rPr>
      <t xml:space="preserve">SSR</t>
    </r>
  </si>
  <si>
    <r>
      <rPr>
        <b val="true"/>
        <sz val="10"/>
        <color rgb="FFFFFFFF"/>
        <rFont val="Arial"/>
        <family val="0"/>
        <charset val="1"/>
      </rPr>
      <t xml:space="preserve">n × </t>
    </r>
    <r>
      <rPr>
        <b val="true"/>
        <sz val="10"/>
        <color rgb="FFFFFFFF"/>
        <rFont val="Noto Sans CJK SC"/>
        <family val="2"/>
      </rPr>
      <t xml:space="preserve">概率</t>
    </r>
  </si>
  <si>
    <t xml:space="preserve">累计概率</t>
  </si>
  <si>
    <t xml:space="preserve">startTime</t>
  </si>
  <si>
    <t xml:space="preserve">endTime</t>
  </si>
  <si>
    <t xml:space="preserve">preloadSec</t>
  </si>
  <si>
    <t xml:space="preserve">resourceBundle</t>
  </si>
  <si>
    <t xml:space="preserve">entryIcon</t>
  </si>
  <si>
    <t xml:space="preserve">long</t>
  </si>
  <si>
    <r>
      <rPr>
        <b val="true"/>
        <sz val="10"/>
        <rFont val="Noto Sans CJK SC"/>
        <family val="2"/>
      </rPr>
      <t xml:space="preserve">活动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</si>
  <si>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Noto Sans CJK SC"/>
        <family val="2"/>
      </rPr>
      <t xml:space="preserve">开始</t>
    </r>
    <r>
      <rPr>
        <b val="true"/>
        <sz val="10"/>
        <rFont val="Arial"/>
        <family val="0"/>
        <charset val="1"/>
      </rPr>
      <t xml:space="preserve">(UTC</t>
    </r>
    <r>
      <rPr>
        <b val="true"/>
        <sz val="10"/>
        <rFont val="Noto Sans CJK SC"/>
        <family val="2"/>
      </rPr>
      <t xml:space="preserve">毫秒，由服务端配置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</si>
  <si>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结束</t>
    </r>
    <r>
      <rPr>
        <b val="true"/>
        <sz val="10"/>
        <rFont val="Arial"/>
        <family val="0"/>
        <charset val="1"/>
      </rPr>
      <t xml:space="preserve">(UTC</t>
    </r>
    <r>
      <rPr>
        <b val="true"/>
        <sz val="10"/>
        <rFont val="Noto Sans CJK SC"/>
        <family val="2"/>
      </rPr>
      <t xml:space="preserve">毫秒，由服务端配置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</si>
  <si>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提前预下载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秒</t>
    </r>
    <r>
      <rPr>
        <b val="true"/>
        <sz val="10"/>
        <rFont val="Arial"/>
        <family val="0"/>
        <charset val="1"/>
      </rPr>
      <t xml:space="preserve">)</t>
    </r>
  </si>
  <si>
    <t xml:space="preserve">热更资源包名</t>
  </si>
  <si>
    <t xml:space="preserve">入口位置</t>
  </si>
  <si>
    <t xml:space="preserve">gacha</t>
  </si>
  <si>
    <t xml:space="preserve">activity_spring_picnic</t>
  </si>
  <si>
    <r>
      <rPr>
        <sz val="10"/>
        <rFont val="Noto Sans CJK SC"/>
        <family val="2"/>
      </rPr>
      <t xml:space="preserve">广场公告板</t>
    </r>
    <r>
      <rPr>
        <sz val="10"/>
        <rFont val="Arial"/>
        <family val="0"/>
        <charset val="1"/>
      </rPr>
      <t xml:space="preserve">;</t>
    </r>
    <r>
      <rPr>
        <sz val="10"/>
        <rFont val="Noto Sans CJK SC"/>
        <family val="2"/>
      </rPr>
      <t xml:space="preserve">主界面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</si>
</sst>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0"/>
    <numFmt numFmtId="167" formatCode="#,##0"/>
    <numFmt numFmtId="168" formatCode="0.00"/>
    <numFmt numFmtId="169" formatCode="0.00%"/>
    <numFmt numFmtId="170" formatCode="0.0"/>
    <numFmt numFmtId="171" formatCode="0.0;\-0.0;0.0"/>
    <numFmt numFmtId="172" formatCode="0.00\x"/>
    <numFmt numFmtId="173" formatCode="yyyy\-mm\-dd"/>
    <numFmt numFmtId="174" formatCode="0%"/>
    <numFmt numFmtId="175" formatCode="#,##0.0"/>
    <numFmt numFmtId="176" formatCode="General"/>
    <numFmt numFmtId="177" formatCode="0.0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Noto Sans CJK SC"/>
      <family val="2"/>
    </font>
    <font>
      <b val="true"/>
      <sz val="14"/>
      <color rgb="FF1F3A5F"/>
      <name val="Arial"/>
      <family val="0"/>
      <charset val="1"/>
    </font>
    <font>
      <i val="true"/>
      <sz val="9"/>
      <color rgb="FF595959"/>
      <name val="Noto Sans CJK SC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1F3A5F"/>
      <name val="Noto Sans CJK SC"/>
      <family val="2"/>
    </font>
    <font>
      <b val="true"/>
      <sz val="10"/>
      <color rgb="FFFFFFFF"/>
      <name val="Noto Sans CJK SC"/>
      <family val="2"/>
    </font>
    <font>
      <b val="true"/>
      <u val="single"/>
      <sz val="10"/>
      <color rgb="FF0563C1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sz val="10"/>
      <color rgb="FF008000"/>
      <name val="Noto Sans CJK SC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44546A"/>
      </patternFill>
    </fill>
    <fill>
      <patternFill patternType="solid">
        <fgColor rgb="FFF5F5F5"/>
        <bgColor rgb="FFEAF0FA"/>
      </patternFill>
    </fill>
    <fill>
      <patternFill patternType="solid">
        <fgColor rgb="FF595959"/>
        <bgColor rgb="FF44546A"/>
      </patternFill>
    </fill>
    <fill>
      <patternFill patternType="solid">
        <fgColor rgb="FFFFF2CC"/>
        <bgColor rgb="FFF5F5F5"/>
      </patternFill>
    </fill>
    <fill>
      <patternFill patternType="solid">
        <fgColor rgb="FFD9E2F3"/>
        <bgColor rgb="FFD9D9D9"/>
      </patternFill>
    </fill>
    <fill>
      <patternFill patternType="solid">
        <fgColor rgb="FFEAF0FA"/>
        <bgColor rgb="FFEDEDED"/>
      </patternFill>
    </fill>
    <fill>
      <patternFill patternType="solid">
        <fgColor rgb="FFD9D9D9"/>
        <bgColor rgb="FFD9E2F3"/>
      </patternFill>
    </fill>
    <fill>
      <patternFill patternType="solid">
        <fgColor rgb="FFEDEDED"/>
        <bgColor rgb="FFEA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E2F0D9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  <sz val="10"/>
      </font>
    </dxf>
    <dxf>
      <fill>
        <patternFill patternType="solid">
          <fgColor rgb="FFEAF0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EAF0F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F0D9"/>
      <rgbColor rgb="FFF5F5F5"/>
      <rgbColor rgb="FFD9E2F3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1F3A5F"/>
      <rgbColor rgb="FF339966"/>
      <rgbColor rgb="FF003300"/>
      <rgbColor rgb="FF333300"/>
      <rgbColor rgb="FF993300"/>
      <rgbColor rgb="FF993366"/>
      <rgbColor rgb="FF2F5597"/>
      <rgbColor rgb="FF44546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&#20113;&#23679;&#23567;&#31569;_&#37197;&#32622;&#34920;&#19982;&#24320;&#21457;&#36827;&#24230;.xlsx" TargetMode="External"/><Relationship Id="rId2" Type="http://schemas.openxmlformats.org/officeDocument/2006/relationships/hyperlink" Target="&#20113;&#23679;&#23567;&#31569;_&#37197;&#32622;&#34920;&#19982;&#24320;&#21457;&#36827;&#24230;.xlsx" TargetMode="External"/><Relationship Id="rId3" Type="http://schemas.openxmlformats.org/officeDocument/2006/relationships/hyperlink" Target="&#20113;&#23679;&#23567;&#31569;_&#37197;&#32622;&#34920;&#19982;&#24320;&#21457;&#36827;&#24230;.xlsx" TargetMode="External"/><Relationship Id="rId4" Type="http://schemas.openxmlformats.org/officeDocument/2006/relationships/hyperlink" Target="&#20113;&#23679;&#23567;&#31569;_&#37197;&#32622;&#34920;&#19982;&#24320;&#21457;&#36827;&#24230;.xlsx" TargetMode="External"/><Relationship Id="rId5" Type="http://schemas.openxmlformats.org/officeDocument/2006/relationships/hyperlink" Target="&#20113;&#23679;&#23567;&#31569;_&#37197;&#32622;&#34920;&#19982;&#24320;&#21457;&#36827;&#24230;.xlsx" TargetMode="External"/><Relationship Id="rId6" Type="http://schemas.openxmlformats.org/officeDocument/2006/relationships/hyperlink" Target="&#20113;&#23679;&#23567;&#31569;_&#37197;&#32622;&#34920;&#19982;&#24320;&#21457;&#36827;&#24230;.xlsx" TargetMode="External"/><Relationship Id="rId7" Type="http://schemas.openxmlformats.org/officeDocument/2006/relationships/hyperlink" Target="&#20113;&#23679;&#23567;&#31569;_&#37197;&#32622;&#34920;&#19982;&#24320;&#21457;&#36827;&#24230;.xlsx" TargetMode="External"/><Relationship Id="rId8" Type="http://schemas.openxmlformats.org/officeDocument/2006/relationships/hyperlink" Target="&#20113;&#23679;&#23567;&#31569;_&#37197;&#32622;&#34920;&#19982;&#24320;&#21457;&#36827;&#24230;.xlsx" TargetMode="External"/><Relationship Id="rId9" Type="http://schemas.openxmlformats.org/officeDocument/2006/relationships/hyperlink" Target="&#20113;&#23679;&#23567;&#31569;_&#37197;&#32622;&#34920;&#19982;&#24320;&#21457;&#36827;&#24230;.xlsx" TargetMode="External"/><Relationship Id="rId10" Type="http://schemas.openxmlformats.org/officeDocument/2006/relationships/hyperlink" Target="&#20113;&#23679;&#23567;&#31569;_&#37197;&#32622;&#34920;&#19982;&#24320;&#21457;&#36827;&#24230;.xlsx" TargetMode="External"/><Relationship Id="rId11" Type="http://schemas.openxmlformats.org/officeDocument/2006/relationships/hyperlink" Target="&#20113;&#23679;&#23567;&#31569;_&#37197;&#32622;&#34920;&#19982;&#24320;&#21457;&#36827;&#24230;.xlsx" TargetMode="External"/><Relationship Id="rId12" Type="http://schemas.openxmlformats.org/officeDocument/2006/relationships/hyperlink" Target="&#20113;&#23679;&#23567;&#31569;_&#37197;&#32622;&#34920;&#19982;&#24320;&#21457;&#36827;&#24230;.xlsx" TargetMode="External"/><Relationship Id="rId13" Type="http://schemas.openxmlformats.org/officeDocument/2006/relationships/hyperlink" Target="&#20113;&#23679;&#23567;&#31569;_&#37197;&#32622;&#34920;&#19982;&#24320;&#21457;&#36827;&#24230;.xlsx" TargetMode="External"/><Relationship Id="rId14" Type="http://schemas.openxmlformats.org/officeDocument/2006/relationships/hyperlink" Target="&#20113;&#23679;&#23567;&#31569;_&#37197;&#32622;&#34920;&#19982;&#24320;&#21457;&#36827;&#24230;.xlsx" TargetMode="External"/><Relationship Id="rId15" Type="http://schemas.openxmlformats.org/officeDocument/2006/relationships/hyperlink" Target="&#20113;&#23679;&#23567;&#31569;_&#37197;&#32622;&#34920;&#19982;&#24320;&#21457;&#36827;&#24230;.xlsx" TargetMode="External"/><Relationship Id="rId16" Type="http://schemas.openxmlformats.org/officeDocument/2006/relationships/hyperlink" Target="&#20113;&#23679;&#23567;&#31569;_&#37197;&#32622;&#34920;&#19982;&#24320;&#21457;&#36827;&#24230;.xlsx" TargetMode="External"/><Relationship Id="rId17" Type="http://schemas.openxmlformats.org/officeDocument/2006/relationships/hyperlink" Target="&#20113;&#23679;&#23567;&#31569;_&#37197;&#32622;&#34920;&#19982;&#24320;&#21457;&#36827;&#24230;.xlsx" TargetMode="External"/><Relationship Id="rId18" Type="http://schemas.openxmlformats.org/officeDocument/2006/relationships/hyperlink" Target="&#20113;&#23679;&#23567;&#31569;_&#37197;&#32622;&#34920;&#19982;&#24320;&#21457;&#36827;&#24230;.xlsx" TargetMode="External"/><Relationship Id="rId19" Type="http://schemas.openxmlformats.org/officeDocument/2006/relationships/hyperlink" Target="&#20113;&#23679;&#23567;&#31569;_&#37197;&#32622;&#34920;&#19982;&#24320;&#21457;&#36827;&#24230;.xlsx" TargetMode="External"/><Relationship Id="rId20" Type="http://schemas.openxmlformats.org/officeDocument/2006/relationships/hyperlink" Target="&#20113;&#23679;&#23567;&#31569;_&#37197;&#32622;&#34920;&#19982;&#24320;&#21457;&#36827;&#24230;.xlsx" TargetMode="External"/><Relationship Id="rId21" Type="http://schemas.openxmlformats.org/officeDocument/2006/relationships/hyperlink" Target="&#20113;&#23679;&#23567;&#31569;_&#37197;&#32622;&#34920;&#19982;&#24320;&#21457;&#36827;&#24230;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96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s">
        <v>7</v>
      </c>
      <c r="C6" s="6" t="s">
        <v>8</v>
      </c>
    </row>
    <row r="7" customFormat="false" ht="15" hidden="false" customHeight="false" outlineLevel="0" collapsed="false">
      <c r="A7" s="5" t="s">
        <v>9</v>
      </c>
      <c r="B7" s="6" t="s">
        <v>10</v>
      </c>
      <c r="C7" s="6" t="s">
        <v>11</v>
      </c>
    </row>
    <row r="8" customFormat="false" ht="15" hidden="false" customHeight="false" outlineLevel="0" collapsed="false">
      <c r="A8" s="7" t="s">
        <v>12</v>
      </c>
      <c r="B8" s="6" t="s">
        <v>13</v>
      </c>
      <c r="C8" s="6" t="s">
        <v>14</v>
      </c>
    </row>
    <row r="9" customFormat="false" ht="15" hidden="false" customHeight="false" outlineLevel="0" collapsed="false">
      <c r="A9" s="7" t="s">
        <v>15</v>
      </c>
      <c r="B9" s="6" t="s">
        <v>13</v>
      </c>
      <c r="C9" s="6" t="s">
        <v>16</v>
      </c>
    </row>
    <row r="10" customFormat="false" ht="15" hidden="false" customHeight="false" outlineLevel="0" collapsed="false">
      <c r="A10" s="7" t="s">
        <v>17</v>
      </c>
      <c r="B10" s="6" t="s">
        <v>13</v>
      </c>
      <c r="C10" s="6" t="s">
        <v>18</v>
      </c>
    </row>
    <row r="11" customFormat="false" ht="15" hidden="false" customHeight="false" outlineLevel="0" collapsed="false">
      <c r="A11" s="7" t="s">
        <v>19</v>
      </c>
      <c r="B11" s="6" t="s">
        <v>13</v>
      </c>
      <c r="C11" s="6" t="s">
        <v>20</v>
      </c>
    </row>
    <row r="12" customFormat="false" ht="15" hidden="false" customHeight="false" outlineLevel="0" collapsed="false">
      <c r="A12" s="7" t="s">
        <v>21</v>
      </c>
      <c r="B12" s="6" t="s">
        <v>13</v>
      </c>
      <c r="C12" s="6" t="s">
        <v>22</v>
      </c>
    </row>
    <row r="13" customFormat="false" ht="15" hidden="false" customHeight="false" outlineLevel="0" collapsed="false">
      <c r="A13" s="7" t="s">
        <v>23</v>
      </c>
      <c r="B13" s="6" t="s">
        <v>13</v>
      </c>
      <c r="C13" s="6" t="s">
        <v>24</v>
      </c>
    </row>
    <row r="14" customFormat="false" ht="15" hidden="false" customHeight="false" outlineLevel="0" collapsed="false">
      <c r="A14" s="7" t="s">
        <v>25</v>
      </c>
      <c r="B14" s="6" t="s">
        <v>13</v>
      </c>
      <c r="C14" s="6" t="s">
        <v>26</v>
      </c>
    </row>
    <row r="15" customFormat="false" ht="15" hidden="false" customHeight="false" outlineLevel="0" collapsed="false">
      <c r="A15" s="7" t="s">
        <v>27</v>
      </c>
      <c r="B15" s="6" t="s">
        <v>13</v>
      </c>
      <c r="C15" s="6" t="s">
        <v>28</v>
      </c>
    </row>
    <row r="16" customFormat="false" ht="15" hidden="false" customHeight="false" outlineLevel="0" collapsed="false">
      <c r="A16" s="7" t="s">
        <v>29</v>
      </c>
      <c r="B16" s="6" t="s">
        <v>13</v>
      </c>
      <c r="C16" s="6" t="s">
        <v>30</v>
      </c>
    </row>
    <row r="17" customFormat="false" ht="15" hidden="false" customHeight="false" outlineLevel="0" collapsed="false">
      <c r="A17" s="7" t="s">
        <v>31</v>
      </c>
      <c r="B17" s="6" t="s">
        <v>13</v>
      </c>
      <c r="C17" s="6" t="s">
        <v>32</v>
      </c>
    </row>
    <row r="18" customFormat="false" ht="15" hidden="false" customHeight="false" outlineLevel="0" collapsed="false">
      <c r="A18" s="7" t="s">
        <v>33</v>
      </c>
      <c r="B18" s="6" t="s">
        <v>13</v>
      </c>
      <c r="C18" s="6" t="s">
        <v>34</v>
      </c>
    </row>
    <row r="19" customFormat="false" ht="15" hidden="false" customHeight="false" outlineLevel="0" collapsed="false">
      <c r="A19" s="7" t="s">
        <v>35</v>
      </c>
      <c r="B19" s="6" t="s">
        <v>7</v>
      </c>
      <c r="C19" s="6" t="s">
        <v>36</v>
      </c>
    </row>
    <row r="20" customFormat="false" ht="15" hidden="false" customHeight="false" outlineLevel="0" collapsed="false">
      <c r="A20" s="7" t="s">
        <v>37</v>
      </c>
      <c r="B20" s="6" t="s">
        <v>13</v>
      </c>
      <c r="C20" s="6" t="s">
        <v>38</v>
      </c>
    </row>
    <row r="21" customFormat="false" ht="15" hidden="false" customHeight="false" outlineLevel="0" collapsed="false">
      <c r="A21" s="7" t="s">
        <v>39</v>
      </c>
      <c r="B21" s="6" t="s">
        <v>13</v>
      </c>
      <c r="C21" s="6" t="s">
        <v>40</v>
      </c>
    </row>
    <row r="22" customFormat="false" ht="15" hidden="false" customHeight="false" outlineLevel="0" collapsed="false">
      <c r="A22" s="7" t="s">
        <v>41</v>
      </c>
      <c r="B22" s="6" t="s">
        <v>13</v>
      </c>
      <c r="C22" s="6" t="s">
        <v>42</v>
      </c>
    </row>
    <row r="23" customFormat="false" ht="15" hidden="false" customHeight="false" outlineLevel="0" collapsed="false">
      <c r="A23" s="7" t="s">
        <v>43</v>
      </c>
      <c r="B23" s="6" t="s">
        <v>13</v>
      </c>
      <c r="C23" s="6" t="s">
        <v>44</v>
      </c>
    </row>
    <row r="24" customFormat="false" ht="15" hidden="false" customHeight="false" outlineLevel="0" collapsed="false">
      <c r="A24" s="7" t="s">
        <v>45</v>
      </c>
      <c r="B24" s="6" t="s">
        <v>13</v>
      </c>
      <c r="C24" s="6" t="s">
        <v>46</v>
      </c>
    </row>
    <row r="25" customFormat="false" ht="15" hidden="false" customHeight="false" outlineLevel="0" collapsed="false">
      <c r="A25" s="7" t="s">
        <v>47</v>
      </c>
      <c r="B25" s="6" t="s">
        <v>7</v>
      </c>
      <c r="C25" s="8" t="s">
        <v>48</v>
      </c>
    </row>
    <row r="26" customFormat="false" ht="15" hidden="false" customHeight="false" outlineLevel="0" collapsed="false">
      <c r="A26" s="7" t="s">
        <v>49</v>
      </c>
      <c r="B26" s="6" t="s">
        <v>13</v>
      </c>
      <c r="C26" s="6" t="s">
        <v>50</v>
      </c>
    </row>
    <row r="28" customFormat="false" ht="15" hidden="false" customHeight="false" outlineLevel="0" collapsed="false">
      <c r="A28" s="3" t="s">
        <v>51</v>
      </c>
    </row>
    <row r="29" customFormat="false" ht="30" hidden="false" customHeight="true" outlineLevel="0" collapsed="false">
      <c r="A29" s="9" t="s">
        <v>52</v>
      </c>
      <c r="B29" s="10" t="s">
        <v>53</v>
      </c>
      <c r="C29" s="10"/>
    </row>
    <row r="30" customFormat="false" ht="30" hidden="false" customHeight="true" outlineLevel="0" collapsed="false">
      <c r="A30" s="9" t="s">
        <v>54</v>
      </c>
      <c r="B30" s="10" t="s">
        <v>55</v>
      </c>
      <c r="C30" s="10"/>
    </row>
    <row r="31" customFormat="false" ht="30" hidden="false" customHeight="true" outlineLevel="0" collapsed="false">
      <c r="A31" s="9" t="s">
        <v>56</v>
      </c>
      <c r="B31" s="10" t="s">
        <v>57</v>
      </c>
      <c r="C31" s="10"/>
    </row>
    <row r="32" customFormat="false" ht="30" hidden="false" customHeight="true" outlineLevel="0" collapsed="false">
      <c r="A32" s="9" t="s">
        <v>58</v>
      </c>
      <c r="B32" s="11" t="s">
        <v>59</v>
      </c>
      <c r="C32" s="11"/>
    </row>
    <row r="33" customFormat="false" ht="30" hidden="false" customHeight="true" outlineLevel="0" collapsed="false">
      <c r="A33" s="9" t="s">
        <v>60</v>
      </c>
      <c r="B33" s="10" t="s">
        <v>61</v>
      </c>
      <c r="C33" s="10"/>
    </row>
    <row r="35" customFormat="false" ht="15" hidden="false" customHeight="false" outlineLevel="0" collapsed="false">
      <c r="A35" s="3" t="s">
        <v>62</v>
      </c>
    </row>
    <row r="36" customFormat="false" ht="30" hidden="false" customHeight="true" outlineLevel="0" collapsed="false">
      <c r="A36" s="9" t="s">
        <v>63</v>
      </c>
      <c r="B36" s="11" t="s">
        <v>64</v>
      </c>
      <c r="C36" s="11"/>
    </row>
    <row r="37" customFormat="false" ht="30" hidden="false" customHeight="true" outlineLevel="0" collapsed="false">
      <c r="A37" s="9" t="s">
        <v>65</v>
      </c>
      <c r="B37" s="11" t="s">
        <v>66</v>
      </c>
      <c r="C37" s="11"/>
    </row>
    <row r="38" customFormat="false" ht="30" hidden="false" customHeight="true" outlineLevel="0" collapsed="false">
      <c r="A38" s="9" t="s">
        <v>67</v>
      </c>
      <c r="B38" s="11" t="s">
        <v>68</v>
      </c>
      <c r="C38" s="11"/>
    </row>
    <row r="39" customFormat="false" ht="30" hidden="false" customHeight="true" outlineLevel="0" collapsed="false">
      <c r="A39" s="9" t="s">
        <v>69</v>
      </c>
      <c r="B39" s="10" t="str">
        <f aca="false">"加工品增值倍率实际范围 "&amp;TEXT(校验!C26,"0.00")&amp;"x ~ "&amp;TEXT(校验!C27,"0.00")&amp;"x（03 文档原写 1.1~1.9，已更正）"</f>
        <v>加工品增值倍率实际范围 1.33x ~ 2.25x（03 文档原写 1.1~1.9，已更正）</v>
      </c>
      <c r="C39" s="10"/>
    </row>
    <row r="40" customFormat="false" ht="30" hidden="false" customHeight="true" outlineLevel="0" collapsed="false">
      <c r="A40" s="9" t="s">
        <v>70</v>
      </c>
      <c r="B40" s="10" t="str">
        <f aca="false">"开发计划：核心线估时相对周容量的余量为 "&amp;TEXT(校验!C23,"0.0")&amp;" h（负数表示 M0 / M1 估时超出周容量，需动用缓冲或将 PoC #8 延后）"</f>
        <v>开发计划：核心线估时相对周容量的余量为 -7.0 h（负数表示 M0 / M1 估时超出周容量，需动用缓冲或将 PoC #8 延后）</v>
      </c>
      <c r="C40" s="10"/>
    </row>
  </sheetData>
  <mergeCells count="10">
    <mergeCell ref="B29:C29"/>
    <mergeCell ref="B30:C30"/>
    <mergeCell ref="B31:C31"/>
    <mergeCell ref="B32:C32"/>
    <mergeCell ref="B33:C33"/>
    <mergeCell ref="B36:C36"/>
    <mergeCell ref="B37:C37"/>
    <mergeCell ref="B38:C38"/>
    <mergeCell ref="B39:C39"/>
    <mergeCell ref="B40:C40"/>
  </mergeCells>
  <hyperlinks>
    <hyperlink ref="A6" r:id="rId1" location="'校验'!A1" display="校验"/>
    <hyperlink ref="A7" r:id="rId2" location="'开发进度'!A1" display="开发进度"/>
    <hyperlink ref="A8" r:id="rId3" location="'Global'!A1" display="Global"/>
    <hyperlink ref="A9" r:id="rId4" location="'Item'!A1" display="Item"/>
    <hyperlink ref="A10" r:id="rId5" location="'Crop'!A1" display="Crop"/>
    <hyperlink ref="A11" r:id="rId6" location="'GatherNode'!A1" display="GatherNode"/>
    <hyperlink ref="A12" r:id="rId7" location="'Tool'!A1" display="Tool"/>
    <hyperlink ref="A13" r:id="rId8" location="'Facility'!A1" display="Facility"/>
    <hyperlink ref="A14" r:id="rId9" location="'FacilityLevel'!A1" display="FacilityLevel"/>
    <hyperlink ref="A15" r:id="rId10" location="'Recipe'!A1" display="Recipe"/>
    <hyperlink ref="A16" r:id="rId11" location="'Level'!A1" display="Level"/>
    <hyperlink ref="A17" r:id="rId12" location="'Plot'!A1" display="Plot"/>
    <hyperlink ref="A18" r:id="rId13" location="'OrderRule'!A1" display="OrderRule"/>
    <hyperlink ref="A19" r:id="rId14" location="'OrderCalc'!A1" display="OrderCalc"/>
    <hyperlink ref="A20" r:id="rId15" location="'Furniture'!A1" display="Furniture"/>
    <hyperlink ref="A21" r:id="rId16" location="'AvatarItem'!A1" display="AvatarItem"/>
    <hyperlink ref="A22" r:id="rId17" location="'GachaRule'!A1" display="GachaRule"/>
    <hyperlink ref="A23" r:id="rId18" location="'GachaPool'!A1" display="GachaPool"/>
    <hyperlink ref="A24" r:id="rId19" location="'GachaPoolItem'!A1" display="GachaPoolItem"/>
    <hyperlink ref="A25" r:id="rId20" location="'GachaSim'!A1" display="GachaSim"/>
    <hyperlink ref="A26" r:id="rId21" location="'Activity'!A1" display="Activit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2" t="s">
        <v>72</v>
      </c>
    </row>
    <row r="4" customFormat="false" ht="15" hidden="false" customHeight="false" outlineLevel="0" collapsed="false">
      <c r="A4" s="4" t="s">
        <v>73</v>
      </c>
      <c r="B4" s="4" t="s">
        <v>74</v>
      </c>
      <c r="C4" s="4" t="s">
        <v>75</v>
      </c>
      <c r="D4" s="4" t="s">
        <v>76</v>
      </c>
      <c r="E4" s="4" t="s">
        <v>77</v>
      </c>
    </row>
    <row r="5" customFormat="false" ht="15" hidden="false" customHeight="false" outlineLevel="0" collapsed="false">
      <c r="A5" s="6" t="s">
        <v>78</v>
      </c>
      <c r="B5" s="12" t="n">
        <v>1</v>
      </c>
      <c r="C5" s="13" t="n">
        <f aca="false">SUM(GachaRule!$B$4:$B$7)</f>
        <v>1</v>
      </c>
      <c r="D5" s="14" t="str">
        <f aca="false">IF(ABS(C5-B5)&lt;=0.000000001,"OK","检查")</f>
        <v>OK</v>
      </c>
      <c r="E5" s="8" t="s">
        <v>79</v>
      </c>
    </row>
    <row r="6" customFormat="false" ht="15" hidden="false" customHeight="false" outlineLevel="0" collapsed="false">
      <c r="A6" s="6" t="s">
        <v>80</v>
      </c>
      <c r="B6" s="15" t="n">
        <v>12</v>
      </c>
      <c r="C6" s="16" t="n">
        <f aca="false">COUNTIFS(AvatarItem!$G$4:$G$39,"常驻",AvatarItem!$D$4:$D$39,"N")</f>
        <v>12</v>
      </c>
      <c r="D6" s="14" t="str">
        <f aca="false">IF(ABS(C6-B6)&lt;=0,"OK","检查")</f>
        <v>OK</v>
      </c>
      <c r="E6" s="8" t="s">
        <v>81</v>
      </c>
    </row>
    <row r="7" customFormat="false" ht="15" hidden="false" customHeight="false" outlineLevel="0" collapsed="false">
      <c r="A7" s="6" t="s">
        <v>82</v>
      </c>
      <c r="B7" s="15" t="n">
        <v>10</v>
      </c>
      <c r="C7" s="16" t="n">
        <f aca="false">COUNTIFS(AvatarItem!$G$4:$G$39,"常驻",AvatarItem!$D$4:$D$39,"R")</f>
        <v>10</v>
      </c>
      <c r="D7" s="14" t="str">
        <f aca="false">IF(ABS(C7-B7)&lt;=0,"OK","检查")</f>
        <v>OK</v>
      </c>
      <c r="E7" s="8" t="s">
        <v>81</v>
      </c>
    </row>
    <row r="8" customFormat="false" ht="15" hidden="false" customHeight="false" outlineLevel="0" collapsed="false">
      <c r="A8" s="6" t="s">
        <v>83</v>
      </c>
      <c r="B8" s="15" t="n">
        <v>5</v>
      </c>
      <c r="C8" s="16" t="n">
        <f aca="false">COUNTIFS(AvatarItem!$G$4:$G$39,"常驻",AvatarItem!$D$4:$D$39,"SR")</f>
        <v>5</v>
      </c>
      <c r="D8" s="14" t="str">
        <f aca="false">IF(ABS(C8-B8)&lt;=0,"OK","检查")</f>
        <v>OK</v>
      </c>
      <c r="E8" s="8" t="s">
        <v>81</v>
      </c>
    </row>
    <row r="9" customFormat="false" ht="15" hidden="false" customHeight="false" outlineLevel="0" collapsed="false">
      <c r="A9" s="6" t="s">
        <v>84</v>
      </c>
      <c r="B9" s="15" t="n">
        <v>3</v>
      </c>
      <c r="C9" s="16" t="n">
        <f aca="false">COUNTIFS(AvatarItem!$G$4:$G$39,"常驻",AvatarItem!$D$4:$D$39,"SSR")</f>
        <v>3</v>
      </c>
      <c r="D9" s="14" t="str">
        <f aca="false">IF(ABS(C9-B9)&lt;=0,"OK","检查")</f>
        <v>OK</v>
      </c>
      <c r="E9" s="8" t="s">
        <v>81</v>
      </c>
    </row>
    <row r="10" customFormat="false" ht="15" hidden="false" customHeight="false" outlineLevel="0" collapsed="false">
      <c r="A10" s="6" t="s">
        <v>85</v>
      </c>
      <c r="B10" s="15" t="n">
        <v>6</v>
      </c>
      <c r="C10" s="16" t="n">
        <f aca="false">COUNTIF(AvatarItem!$G$4:$G$39,"P02")</f>
        <v>6</v>
      </c>
      <c r="D10" s="14" t="str">
        <f aca="false">IF(ABS(C10-B10)&lt;=0,"OK","检查")</f>
        <v>OK</v>
      </c>
      <c r="E10" s="8" t="s">
        <v>86</v>
      </c>
    </row>
    <row r="11" customFormat="false" ht="15" hidden="false" customHeight="false" outlineLevel="0" collapsed="false">
      <c r="A11" s="6" t="s">
        <v>87</v>
      </c>
      <c r="B11" s="15" t="n">
        <v>0</v>
      </c>
      <c r="C11" s="16" t="n">
        <f aca="false">SUMPRODUCT(--(COUNTIF(Item!$A$4:$A$44,Recipe!$I$4:$I$14)=0))</f>
        <v>0</v>
      </c>
      <c r="D11" s="14" t="str">
        <f aca="false">IF(ABS(C11-B11)&lt;=0,"OK","检查")</f>
        <v>OK</v>
      </c>
      <c r="E11" s="6" t="s">
        <v>88</v>
      </c>
    </row>
    <row r="12" customFormat="false" ht="15" hidden="false" customHeight="false" outlineLevel="0" collapsed="false">
      <c r="A12" s="6" t="s">
        <v>89</v>
      </c>
      <c r="B12" s="15" t="n">
        <v>0</v>
      </c>
      <c r="C12" s="16" t="n">
        <f aca="false">SUMPRODUCT(--(COUNTIF(Item!$A$4:$A$44,Recipe!$E$4:$E$14)=0))+SUMPRODUCT((Recipe!$G$4:$G$14&lt;&gt;"")*(COUNTIF(Item!$A$4:$A$44,Recipe!$G$4:$G$14)=0))</f>
        <v>0</v>
      </c>
      <c r="D12" s="14" t="str">
        <f aca="false">IF(ABS(C12-B12)&lt;=0,"OK","检查")</f>
        <v>OK</v>
      </c>
      <c r="E12" s="6" t="s">
        <v>90</v>
      </c>
    </row>
    <row r="13" customFormat="false" ht="15" hidden="false" customHeight="false" outlineLevel="0" collapsed="false">
      <c r="A13" s="6" t="s">
        <v>91</v>
      </c>
      <c r="B13" s="15" t="n">
        <v>0</v>
      </c>
      <c r="C13" s="16" t="n">
        <f aca="false">SUMPRODUCT(--(COUNTIF(Item!$A$4:$A$44,Crop!$C$4:$C$10)=0))+SUMPRODUCT(--(COUNTIF(Item!$A$4:$A$44,Crop!$D$4:$D$10)=0))</f>
        <v>0</v>
      </c>
      <c r="D13" s="14" t="str">
        <f aca="false">IF(ABS(C13-B13)&lt;=0,"OK","检查")</f>
        <v>OK</v>
      </c>
      <c r="E13" s="6" t="s">
        <v>90</v>
      </c>
    </row>
    <row r="14" customFormat="false" ht="15" hidden="false" customHeight="false" outlineLevel="0" collapsed="false">
      <c r="A14" s="6" t="s">
        <v>92</v>
      </c>
      <c r="B14" s="15" t="n">
        <v>0</v>
      </c>
      <c r="C14" s="16" t="n">
        <f aca="false">SUMPRODUCT(--(COUNTIF(AvatarItem!$A$4:$A$39,GachaPoolItem!$C$4:$C$57)=0))</f>
        <v>0</v>
      </c>
      <c r="D14" s="14" t="str">
        <f aca="false">IF(ABS(C14-B14)&lt;=0,"OK","检查")</f>
        <v>OK</v>
      </c>
      <c r="E14" s="6" t="s">
        <v>93</v>
      </c>
    </row>
    <row r="15" customFormat="false" ht="15" hidden="false" customHeight="false" outlineLevel="0" collapsed="false">
      <c r="A15" s="6" t="s">
        <v>94</v>
      </c>
      <c r="B15" s="17" t="n">
        <v>8759</v>
      </c>
      <c r="C15" s="18" t="n">
        <f aca="false">Level!$C$22</f>
        <v>8759</v>
      </c>
      <c r="D15" s="14" t="str">
        <f aca="false">IF(ABS(C15-B15)&lt;=0,"OK","检查")</f>
        <v>OK</v>
      </c>
      <c r="E15" s="8" t="s">
        <v>95</v>
      </c>
    </row>
    <row r="16" customFormat="false" ht="15" hidden="false" customHeight="false" outlineLevel="0" collapsed="false">
      <c r="A16" s="6" t="s">
        <v>96</v>
      </c>
      <c r="B16" s="19" t="n">
        <v>36.3</v>
      </c>
      <c r="C16" s="20" t="n">
        <f aca="false">GachaSim!$E$4</f>
        <v>36.3040998122244</v>
      </c>
      <c r="D16" s="14" t="str">
        <f aca="false">IF(ABS(C16-B16)&lt;=0.05,"OK","检查")</f>
        <v>OK</v>
      </c>
      <c r="E16" s="8" t="s">
        <v>97</v>
      </c>
    </row>
    <row r="17" customFormat="false" ht="15" hidden="false" customHeight="false" outlineLevel="0" collapsed="false">
      <c r="A17" s="8" t="s">
        <v>98</v>
      </c>
      <c r="B17" s="12" t="n">
        <v>0.976</v>
      </c>
      <c r="C17" s="13" t="n">
        <f aca="false">GachaSim!$E$6</f>
        <v>0.975694101017668</v>
      </c>
      <c r="D17" s="14" t="str">
        <f aca="false">IF(ABS(C17-B17)&lt;=0.001,"OK","检查")</f>
        <v>OK</v>
      </c>
      <c r="E17" s="8" t="s">
        <v>99</v>
      </c>
    </row>
    <row r="18" customFormat="false" ht="15" hidden="false" customHeight="false" outlineLevel="0" collapsed="false">
      <c r="A18" s="6" t="s">
        <v>100</v>
      </c>
      <c r="B18" s="21" t="n">
        <v>0.0275</v>
      </c>
      <c r="C18" s="22" t="n">
        <f aca="false">GachaSim!$E$7</f>
        <v>0.0275450983545191</v>
      </c>
      <c r="D18" s="14" t="str">
        <f aca="false">IF(ABS(C18-B18)&lt;=0.0005,"OK","检查")</f>
        <v>OK</v>
      </c>
      <c r="E18" s="8" t="s">
        <v>101</v>
      </c>
    </row>
    <row r="19" customFormat="false" ht="15" hidden="false" customHeight="false" outlineLevel="0" collapsed="false">
      <c r="A19" s="6" t="s">
        <v>102</v>
      </c>
      <c r="B19" s="23" t="n">
        <v>54.5</v>
      </c>
      <c r="C19" s="24" t="n">
        <f aca="false">GachaSim!$E$8</f>
        <v>54.4561497183367</v>
      </c>
      <c r="D19" s="14" t="str">
        <f aca="false">IF(ABS(C19-B19)&lt;=0.1,"OK","检查")</f>
        <v>OK</v>
      </c>
      <c r="E19" s="8" t="s">
        <v>103</v>
      </c>
    </row>
    <row r="20" customFormat="false" ht="15" hidden="false" customHeight="false" outlineLevel="0" collapsed="false">
      <c r="A20" s="6" t="s">
        <v>104</v>
      </c>
      <c r="B20" s="17" t="n">
        <v>1344</v>
      </c>
      <c r="C20" s="18" t="n">
        <f aca="false">OrderCalc!$K$8</f>
        <v>1344</v>
      </c>
      <c r="D20" s="14" t="str">
        <f aca="false">IF(ABS(C20-B20)&lt;=0,"OK","检查")</f>
        <v>OK</v>
      </c>
      <c r="E20" s="8" t="s">
        <v>105</v>
      </c>
    </row>
    <row r="21" customFormat="false" ht="15" hidden="false" customHeight="false" outlineLevel="0" collapsed="false">
      <c r="A21" s="6" t="s">
        <v>106</v>
      </c>
      <c r="B21" s="17" t="n">
        <v>45</v>
      </c>
      <c r="C21" s="18" t="n">
        <f aca="false">OrderCalc!$L$6</f>
        <v>45</v>
      </c>
      <c r="D21" s="14" t="str">
        <f aca="false">IF(ABS(C21-B21)&lt;=0,"OK","检查")</f>
        <v>OK</v>
      </c>
      <c r="E21" s="8" t="s">
        <v>105</v>
      </c>
    </row>
    <row r="22" customFormat="false" ht="15" hidden="false" customHeight="false" outlineLevel="0" collapsed="false">
      <c r="A22" s="6" t="s">
        <v>107</v>
      </c>
      <c r="B22" s="15" t="n">
        <v>32</v>
      </c>
      <c r="C22" s="16" t="n">
        <f aca="false">开发进度!$D$18</f>
        <v>32</v>
      </c>
      <c r="D22" s="14" t="str">
        <f aca="false">IF(ABS(C22-B22)&lt;=0,"OK","检查")</f>
        <v>OK</v>
      </c>
      <c r="E22" s="8" t="s">
        <v>108</v>
      </c>
    </row>
    <row r="23" customFormat="false" ht="15" hidden="false" customHeight="false" outlineLevel="0" collapsed="false">
      <c r="A23" s="6" t="s">
        <v>109</v>
      </c>
      <c r="B23" s="25" t="n">
        <v>0</v>
      </c>
      <c r="C23" s="26" t="n">
        <f aca="false">开发进度!$I$18</f>
        <v>-7</v>
      </c>
      <c r="D23" s="14" t="str">
        <f aca="false">IF(C23&gt;=B23,"OK","超出 "&amp;TEXT(B23-C23,"0.0")&amp;"h")</f>
        <v>超出 7.0h</v>
      </c>
      <c r="E23" s="8" t="s">
        <v>110</v>
      </c>
    </row>
    <row r="25" customFormat="false" ht="17.15" hidden="false" customHeight="false" outlineLevel="0" collapsed="false">
      <c r="A25" s="3" t="s">
        <v>111</v>
      </c>
    </row>
    <row r="26" customFormat="false" ht="15" hidden="false" customHeight="false" outlineLevel="0" collapsed="false">
      <c r="A26" s="6" t="s">
        <v>112</v>
      </c>
      <c r="C26" s="27" t="n">
        <f aca="false">MIN(Recipe!$O$4:$O$14)</f>
        <v>1.33333333333333</v>
      </c>
      <c r="E26" s="8" t="s">
        <v>113</v>
      </c>
    </row>
    <row r="27" customFormat="false" ht="15" hidden="false" customHeight="false" outlineLevel="0" collapsed="false">
      <c r="A27" s="6" t="s">
        <v>114</v>
      </c>
      <c r="C27" s="27" t="n">
        <f aca="false">MAX(Recipe!$O$4:$O$14)</f>
        <v>2.25</v>
      </c>
      <c r="E27" s="6" t="s">
        <v>115</v>
      </c>
    </row>
    <row r="29" customFormat="false" ht="15" hidden="false" customHeight="false" outlineLevel="0" collapsed="false">
      <c r="A29" s="3" t="s">
        <v>116</v>
      </c>
    </row>
    <row r="30" customFormat="false" ht="15" hidden="false" customHeight="false" outlineLevel="0" collapsed="false">
      <c r="A30" s="28" t="s">
        <v>117</v>
      </c>
      <c r="B30" s="28" t="s">
        <v>118</v>
      </c>
      <c r="C30" s="28"/>
      <c r="D30" s="28"/>
      <c r="E30" s="28" t="s">
        <v>119</v>
      </c>
    </row>
    <row r="31" customFormat="false" ht="15" hidden="false" customHeight="false" outlineLevel="0" collapsed="false">
      <c r="A31" s="6" t="s">
        <v>120</v>
      </c>
      <c r="B31" s="21" t="n">
        <v>0.1175</v>
      </c>
      <c r="E31" s="8" t="s">
        <v>121</v>
      </c>
    </row>
    <row r="32" customFormat="false" ht="15" hidden="false" customHeight="false" outlineLevel="0" collapsed="false">
      <c r="A32" s="6" t="s">
        <v>122</v>
      </c>
      <c r="B32" s="21" t="n">
        <v>0.2571</v>
      </c>
      <c r="E32" s="8" t="s">
        <v>121</v>
      </c>
    </row>
    <row r="33" customFormat="false" ht="15" hidden="false" customHeight="false" outlineLevel="0" collapsed="false">
      <c r="A33" s="6" t="s">
        <v>123</v>
      </c>
      <c r="B33" s="21" t="n">
        <v>0.5978</v>
      </c>
      <c r="E33" s="8" t="s">
        <v>121</v>
      </c>
    </row>
  </sheetData>
  <conditionalFormatting sqref="D5:D23">
    <cfRule type="cellIs" priority="2" operator="equal" aboveAverage="0" equalAverage="0" bottom="0" percent="0" rank="0" text="" dxfId="0">
      <formula>"OK"</formula>
    </cfRule>
    <cfRule type="cellIs" priority="3" operator="notEqual" aboveAverage="0" equalAverage="0" bottom="0" percent="0" rank="0" text="" dxfId="1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6" min="5" style="0" width="13"/>
    <col collapsed="false" customWidth="true" hidden="false" outlineLevel="0" max="9" min="7" style="0" width="12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2"/>
  </cols>
  <sheetData>
    <row r="1" customFormat="false" ht="21.6" hidden="false" customHeight="false" outlineLevel="0" collapsed="false">
      <c r="A1" s="1" t="s">
        <v>124</v>
      </c>
    </row>
    <row r="3" customFormat="false" ht="15" hidden="false" customHeight="false" outlineLevel="0" collapsed="false">
      <c r="A3" s="29" t="s">
        <v>125</v>
      </c>
      <c r="B3" s="30" t="n">
        <v>46307</v>
      </c>
      <c r="D3" s="2" t="s">
        <v>126</v>
      </c>
    </row>
    <row r="4" customFormat="false" ht="15" hidden="false" customHeight="false" outlineLevel="0" collapsed="false">
      <c r="A4" s="29" t="s">
        <v>127</v>
      </c>
      <c r="B4" s="31" t="n">
        <v>17.5</v>
      </c>
      <c r="D4" s="2" t="s">
        <v>128</v>
      </c>
    </row>
    <row r="7" customFormat="false" ht="15" hidden="false" customHeight="false" outlineLevel="0" collapsed="false">
      <c r="A7" s="4" t="s">
        <v>129</v>
      </c>
      <c r="B7" s="4" t="s">
        <v>130</v>
      </c>
      <c r="C7" s="4" t="s">
        <v>4</v>
      </c>
      <c r="D7" s="4" t="s">
        <v>131</v>
      </c>
      <c r="E7" s="4" t="s">
        <v>132</v>
      </c>
      <c r="F7" s="4" t="s">
        <v>133</v>
      </c>
      <c r="G7" s="4" t="s">
        <v>134</v>
      </c>
      <c r="H7" s="4" t="s">
        <v>135</v>
      </c>
      <c r="I7" s="4" t="s">
        <v>136</v>
      </c>
      <c r="J7" s="4" t="s">
        <v>76</v>
      </c>
      <c r="K7" s="4" t="s">
        <v>137</v>
      </c>
      <c r="L7" s="4" t="s">
        <v>138</v>
      </c>
    </row>
    <row r="8" customFormat="false" ht="15" hidden="false" customHeight="false" outlineLevel="0" collapsed="false">
      <c r="A8" s="32" t="s">
        <v>139</v>
      </c>
      <c r="B8" s="6" t="s">
        <v>140</v>
      </c>
      <c r="C8" s="6" t="s">
        <v>141</v>
      </c>
      <c r="D8" s="33" t="n">
        <v>3</v>
      </c>
      <c r="E8" s="34" t="n">
        <f aca="false">$B$3</f>
        <v>46307</v>
      </c>
      <c r="F8" s="34" t="n">
        <f aca="false">E8+D8*7-1</f>
        <v>46327</v>
      </c>
      <c r="G8" s="23" t="n">
        <v>55</v>
      </c>
      <c r="H8" s="35" t="n">
        <f aca="false">D8*$B$4</f>
        <v>52.5</v>
      </c>
      <c r="I8" s="36" t="n">
        <f aca="false">H8-G8</f>
        <v>-2.5</v>
      </c>
      <c r="J8" s="37" t="s">
        <v>142</v>
      </c>
      <c r="K8" s="31" t="n">
        <v>0</v>
      </c>
      <c r="L8" s="38" t="n">
        <f aca="false">IF(G8=0,0,K8/G8)</f>
        <v>0</v>
      </c>
    </row>
    <row r="9" customFormat="false" ht="15" hidden="false" customHeight="false" outlineLevel="0" collapsed="false">
      <c r="A9" s="32" t="s">
        <v>143</v>
      </c>
      <c r="B9" s="6" t="s">
        <v>144</v>
      </c>
      <c r="C9" s="6" t="s">
        <v>141</v>
      </c>
      <c r="D9" s="33" t="n">
        <v>4</v>
      </c>
      <c r="E9" s="34" t="n">
        <f aca="false">F8+1</f>
        <v>46328</v>
      </c>
      <c r="F9" s="34" t="n">
        <f aca="false">E9+D9*7-1</f>
        <v>46355</v>
      </c>
      <c r="G9" s="23" t="n">
        <v>75</v>
      </c>
      <c r="H9" s="35" t="n">
        <f aca="false">D9*$B$4</f>
        <v>70</v>
      </c>
      <c r="I9" s="36" t="n">
        <f aca="false">H9-G9</f>
        <v>-5</v>
      </c>
      <c r="J9" s="37" t="s">
        <v>142</v>
      </c>
      <c r="K9" s="31" t="n">
        <v>0</v>
      </c>
      <c r="L9" s="38" t="n">
        <f aca="false">IF(G9=0,0,K9/G9)</f>
        <v>0</v>
      </c>
    </row>
    <row r="10" customFormat="false" ht="15" hidden="false" customHeight="false" outlineLevel="0" collapsed="false">
      <c r="A10" s="32" t="s">
        <v>145</v>
      </c>
      <c r="B10" s="6" t="s">
        <v>146</v>
      </c>
      <c r="C10" s="6" t="s">
        <v>141</v>
      </c>
      <c r="D10" s="33" t="n">
        <v>6</v>
      </c>
      <c r="E10" s="34" t="n">
        <f aca="false">F9+1</f>
        <v>46356</v>
      </c>
      <c r="F10" s="34" t="n">
        <f aca="false">E10+D10*7-1</f>
        <v>46397</v>
      </c>
      <c r="G10" s="23" t="n">
        <v>105</v>
      </c>
      <c r="H10" s="35" t="n">
        <f aca="false">D10*$B$4</f>
        <v>105</v>
      </c>
      <c r="I10" s="36" t="n">
        <f aca="false">H10-G10</f>
        <v>0</v>
      </c>
      <c r="J10" s="37" t="s">
        <v>142</v>
      </c>
      <c r="K10" s="31" t="n">
        <v>0</v>
      </c>
      <c r="L10" s="38" t="n">
        <f aca="false">IF(G10=0,0,K10/G10)</f>
        <v>0</v>
      </c>
    </row>
    <row r="11" customFormat="false" ht="15" hidden="false" customHeight="false" outlineLevel="0" collapsed="false">
      <c r="A11" s="32" t="s">
        <v>147</v>
      </c>
      <c r="B11" s="6" t="s">
        <v>148</v>
      </c>
      <c r="C11" s="6" t="s">
        <v>141</v>
      </c>
      <c r="D11" s="33" t="n">
        <v>3</v>
      </c>
      <c r="E11" s="34" t="n">
        <f aca="false">F10+1</f>
        <v>46398</v>
      </c>
      <c r="F11" s="34" t="n">
        <f aca="false">E11+D11*7-1</f>
        <v>46418</v>
      </c>
      <c r="G11" s="23" t="n">
        <v>52</v>
      </c>
      <c r="H11" s="35" t="n">
        <f aca="false">D11*$B$4</f>
        <v>52.5</v>
      </c>
      <c r="I11" s="36" t="n">
        <f aca="false">H11-G11</f>
        <v>0.5</v>
      </c>
      <c r="J11" s="37" t="s">
        <v>142</v>
      </c>
      <c r="K11" s="31" t="n">
        <v>0</v>
      </c>
      <c r="L11" s="38" t="n">
        <f aca="false">IF(G11=0,0,K11/G11)</f>
        <v>0</v>
      </c>
    </row>
    <row r="12" customFormat="false" ht="15" hidden="false" customHeight="false" outlineLevel="0" collapsed="false">
      <c r="A12" s="32" t="s">
        <v>149</v>
      </c>
      <c r="B12" s="6" t="s">
        <v>150</v>
      </c>
      <c r="C12" s="6" t="s">
        <v>141</v>
      </c>
      <c r="D12" s="33" t="n">
        <v>6</v>
      </c>
      <c r="E12" s="34" t="n">
        <f aca="false">F11+1</f>
        <v>46419</v>
      </c>
      <c r="F12" s="34" t="n">
        <f aca="false">E12+D12*7-1</f>
        <v>46460</v>
      </c>
      <c r="G12" s="23" t="n">
        <v>105</v>
      </c>
      <c r="H12" s="35" t="n">
        <f aca="false">D12*$B$4</f>
        <v>105</v>
      </c>
      <c r="I12" s="36" t="n">
        <f aca="false">H12-G12</f>
        <v>0</v>
      </c>
      <c r="J12" s="37" t="s">
        <v>142</v>
      </c>
      <c r="K12" s="31" t="n">
        <v>0</v>
      </c>
      <c r="L12" s="38" t="n">
        <f aca="false">IF(G12=0,0,K12/G12)</f>
        <v>0</v>
      </c>
    </row>
    <row r="13" customFormat="false" ht="15" hidden="false" customHeight="false" outlineLevel="0" collapsed="false">
      <c r="A13" s="32" t="s">
        <v>151</v>
      </c>
      <c r="B13" s="6" t="s">
        <v>152</v>
      </c>
      <c r="C13" s="6" t="s">
        <v>141</v>
      </c>
      <c r="D13" s="33" t="n">
        <v>4</v>
      </c>
      <c r="E13" s="34" t="n">
        <f aca="false">F12+1</f>
        <v>46461</v>
      </c>
      <c r="F13" s="34" t="n">
        <f aca="false">E13+D13*7-1</f>
        <v>46488</v>
      </c>
      <c r="G13" s="23" t="n">
        <v>70</v>
      </c>
      <c r="H13" s="35" t="n">
        <f aca="false">D13*$B$4</f>
        <v>70</v>
      </c>
      <c r="I13" s="36" t="n">
        <f aca="false">H13-G13</f>
        <v>0</v>
      </c>
      <c r="J13" s="37" t="s">
        <v>142</v>
      </c>
      <c r="K13" s="31" t="n">
        <v>0</v>
      </c>
      <c r="L13" s="38" t="n">
        <f aca="false">IF(G13=0,0,K13/G13)</f>
        <v>0</v>
      </c>
    </row>
    <row r="14" customFormat="false" ht="15" hidden="false" customHeight="false" outlineLevel="0" collapsed="false">
      <c r="A14" s="9" t="s">
        <v>153</v>
      </c>
      <c r="B14" s="6" t="s">
        <v>154</v>
      </c>
      <c r="C14" s="6" t="s">
        <v>141</v>
      </c>
      <c r="D14" s="33" t="n">
        <v>4</v>
      </c>
      <c r="E14" s="34" t="n">
        <f aca="false">F13+1</f>
        <v>46489</v>
      </c>
      <c r="F14" s="34" t="n">
        <f aca="false">E14+D14*7-1</f>
        <v>46516</v>
      </c>
      <c r="G14" s="23" t="n">
        <v>70</v>
      </c>
      <c r="H14" s="35" t="n">
        <f aca="false">D14*$B$4</f>
        <v>70</v>
      </c>
      <c r="I14" s="36" t="n">
        <f aca="false">H14-G14</f>
        <v>0</v>
      </c>
      <c r="J14" s="37" t="s">
        <v>142</v>
      </c>
      <c r="K14" s="31" t="n">
        <v>0</v>
      </c>
      <c r="L14" s="38" t="n">
        <f aca="false">IF(G14=0,0,K14/G14)</f>
        <v>0</v>
      </c>
    </row>
    <row r="15" customFormat="false" ht="15" hidden="false" customHeight="false" outlineLevel="0" collapsed="false">
      <c r="A15" s="32" t="s">
        <v>155</v>
      </c>
      <c r="B15" s="6" t="s">
        <v>156</v>
      </c>
      <c r="C15" s="6" t="s">
        <v>141</v>
      </c>
      <c r="D15" s="33" t="n">
        <v>2</v>
      </c>
      <c r="E15" s="34" t="n">
        <f aca="false">F14+1</f>
        <v>46517</v>
      </c>
      <c r="F15" s="34" t="n">
        <f aca="false">E15+D15*7-1</f>
        <v>46530</v>
      </c>
      <c r="G15" s="23" t="n">
        <v>35</v>
      </c>
      <c r="H15" s="35" t="n">
        <f aca="false">D15*$B$4</f>
        <v>35</v>
      </c>
      <c r="I15" s="36" t="n">
        <f aca="false">H15-G15</f>
        <v>0</v>
      </c>
      <c r="J15" s="37" t="s">
        <v>142</v>
      </c>
      <c r="K15" s="31" t="n">
        <v>0</v>
      </c>
      <c r="L15" s="38" t="n">
        <f aca="false">IF(G15=0,0,K15/G15)</f>
        <v>0</v>
      </c>
    </row>
    <row r="16" customFormat="false" ht="15" hidden="false" customHeight="false" outlineLevel="0" collapsed="false">
      <c r="A16" s="32" t="s">
        <v>157</v>
      </c>
      <c r="B16" s="6" t="s">
        <v>158</v>
      </c>
      <c r="C16" s="8" t="s">
        <v>159</v>
      </c>
      <c r="D16" s="33" t="n">
        <v>5</v>
      </c>
      <c r="E16" s="34" t="n">
        <f aca="false">F15+1</f>
        <v>46531</v>
      </c>
      <c r="F16" s="34" t="n">
        <f aca="false">E16+D16*7-1</f>
        <v>46565</v>
      </c>
      <c r="G16" s="23" t="n">
        <v>88</v>
      </c>
      <c r="H16" s="35" t="n">
        <f aca="false">D16*$B$4</f>
        <v>87.5</v>
      </c>
      <c r="I16" s="36" t="n">
        <f aca="false">H16-G16</f>
        <v>-0.5</v>
      </c>
      <c r="J16" s="37" t="s">
        <v>142</v>
      </c>
      <c r="K16" s="31" t="n">
        <v>0</v>
      </c>
      <c r="L16" s="38" t="n">
        <f aca="false">IF(G16=0,0,K16/G16)</f>
        <v>0</v>
      </c>
    </row>
    <row r="18" customFormat="false" ht="15" hidden="false" customHeight="false" outlineLevel="0" collapsed="false">
      <c r="A18" s="9" t="s">
        <v>160</v>
      </c>
      <c r="D18" s="39" t="n">
        <f aca="false">SUMIFS(D$8:D$16,$C$8:$C$16,"核心")</f>
        <v>32</v>
      </c>
      <c r="G18" s="35" t="n">
        <f aca="false">SUMIFS(G$8:G$16,$C$8:$C$16,"核心")</f>
        <v>567</v>
      </c>
      <c r="H18" s="35" t="n">
        <f aca="false">SUMIFS(H$8:H$16,$C$8:$C$16,"核心")</f>
        <v>560</v>
      </c>
      <c r="I18" s="35" t="n">
        <f aca="false">SUMIFS(I$8:I$16,$C$8:$C$16,"核心")</f>
        <v>-7</v>
      </c>
      <c r="K18" s="35" t="n">
        <f aca="false">SUMIFS(K$8:K$16,$C$8:$C$16,"核心")</f>
        <v>0</v>
      </c>
      <c r="L18" s="38" t="n">
        <f aca="false">IF(G18=0,0,K18/G18)</f>
        <v>0</v>
      </c>
    </row>
    <row r="19" customFormat="false" ht="15" hidden="false" customHeight="false" outlineLevel="0" collapsed="false">
      <c r="A19" s="32" t="s">
        <v>161</v>
      </c>
      <c r="D19" s="39" t="n">
        <f aca="false">SUMIFS(D$8:D$16,$C$8:$C$16,"Stretch")</f>
        <v>5</v>
      </c>
      <c r="G19" s="35" t="n">
        <f aca="false">SUMIFS(G$8:G$16,$C$8:$C$16,"Stretch")</f>
        <v>88</v>
      </c>
      <c r="H19" s="35" t="n">
        <f aca="false">SUMIFS(H$8:H$16,$C$8:$C$16,"Stretch")</f>
        <v>87.5</v>
      </c>
      <c r="I19" s="35" t="n">
        <f aca="false">SUMIFS(I$8:I$16,$C$8:$C$16,"Stretch")</f>
        <v>-0.5</v>
      </c>
      <c r="K19" s="35" t="n">
        <f aca="false">SUMIFS(K$8:K$16,$C$8:$C$16,"Stretch")</f>
        <v>0</v>
      </c>
      <c r="L19" s="38" t="n">
        <f aca="false">IF(G19=0,0,K19/G19)</f>
        <v>0</v>
      </c>
    </row>
    <row r="20" customFormat="false" ht="15" hidden="false" customHeight="false" outlineLevel="0" collapsed="false">
      <c r="A20" s="9" t="s">
        <v>162</v>
      </c>
      <c r="D20" s="39" t="n">
        <f aca="false">SUM(D8:D16)</f>
        <v>37</v>
      </c>
      <c r="G20" s="35" t="n">
        <f aca="false">SUM(G8:G16)</f>
        <v>655</v>
      </c>
      <c r="H20" s="35" t="n">
        <f aca="false">SUM(H8:H16)</f>
        <v>647.5</v>
      </c>
      <c r="I20" s="35" t="n">
        <f aca="false">SUM(I8:I16)</f>
        <v>-7.5</v>
      </c>
      <c r="K20" s="35" t="n">
        <f aca="false">SUM(K8:K16)</f>
        <v>0</v>
      </c>
      <c r="L20" s="38" t="n">
        <f aca="false">IF(G20=0,0,K20/G20)</f>
        <v>0</v>
      </c>
    </row>
    <row r="22" customFormat="false" ht="17.15" hidden="false" customHeight="false" outlineLevel="0" collapsed="false">
      <c r="A22" s="40" t="s">
        <v>163</v>
      </c>
    </row>
    <row r="23" customFormat="false" ht="15" hidden="false" customHeight="false" outlineLevel="0" collapsed="false">
      <c r="A23" s="4" t="s">
        <v>164</v>
      </c>
      <c r="B23" s="4" t="s">
        <v>165</v>
      </c>
      <c r="C23" s="4" t="s">
        <v>166</v>
      </c>
      <c r="D23" s="4" t="s">
        <v>76</v>
      </c>
      <c r="E23" s="4" t="s">
        <v>167</v>
      </c>
    </row>
    <row r="24" customFormat="false" ht="15" hidden="false" customHeight="false" outlineLevel="0" collapsed="false">
      <c r="A24" s="32" t="s">
        <v>168</v>
      </c>
      <c r="B24" s="6" t="s">
        <v>169</v>
      </c>
      <c r="C24" s="8" t="s">
        <v>143</v>
      </c>
      <c r="D24" s="37" t="s">
        <v>142</v>
      </c>
      <c r="E24" s="41"/>
    </row>
    <row r="25" customFormat="false" ht="15" hidden="false" customHeight="false" outlineLevel="0" collapsed="false">
      <c r="A25" s="32" t="s">
        <v>170</v>
      </c>
      <c r="B25" s="6" t="s">
        <v>171</v>
      </c>
      <c r="C25" s="8" t="s">
        <v>145</v>
      </c>
      <c r="D25" s="37" t="s">
        <v>142</v>
      </c>
      <c r="E25" s="41"/>
    </row>
    <row r="26" customFormat="false" ht="15" hidden="false" customHeight="false" outlineLevel="0" collapsed="false">
      <c r="A26" s="32" t="s">
        <v>172</v>
      </c>
      <c r="B26" s="6" t="s">
        <v>173</v>
      </c>
      <c r="C26" s="8" t="s">
        <v>145</v>
      </c>
      <c r="D26" s="37" t="s">
        <v>142</v>
      </c>
      <c r="E26" s="41"/>
    </row>
    <row r="27" customFormat="false" ht="15" hidden="false" customHeight="false" outlineLevel="0" collapsed="false">
      <c r="A27" s="32" t="s">
        <v>174</v>
      </c>
      <c r="B27" s="6" t="s">
        <v>175</v>
      </c>
      <c r="C27" s="8" t="s">
        <v>145</v>
      </c>
      <c r="D27" s="37" t="s">
        <v>142</v>
      </c>
      <c r="E27" s="41"/>
    </row>
    <row r="28" customFormat="false" ht="15" hidden="false" customHeight="false" outlineLevel="0" collapsed="false">
      <c r="A28" s="32" t="s">
        <v>176</v>
      </c>
      <c r="B28" s="6" t="s">
        <v>177</v>
      </c>
      <c r="C28" s="8" t="s">
        <v>145</v>
      </c>
      <c r="D28" s="37" t="s">
        <v>142</v>
      </c>
      <c r="E28" s="41"/>
    </row>
    <row r="29" customFormat="false" ht="15" hidden="false" customHeight="false" outlineLevel="0" collapsed="false">
      <c r="A29" s="32" t="s">
        <v>178</v>
      </c>
      <c r="B29" s="6" t="s">
        <v>179</v>
      </c>
      <c r="C29" s="8" t="s">
        <v>145</v>
      </c>
      <c r="D29" s="37" t="s">
        <v>142</v>
      </c>
      <c r="E29" s="41"/>
    </row>
    <row r="30" customFormat="false" ht="15" hidden="false" customHeight="false" outlineLevel="0" collapsed="false">
      <c r="A30" s="32" t="s">
        <v>180</v>
      </c>
      <c r="B30" s="6" t="s">
        <v>181</v>
      </c>
      <c r="C30" s="8" t="s">
        <v>145</v>
      </c>
      <c r="D30" s="37" t="s">
        <v>142</v>
      </c>
      <c r="E30" s="41"/>
    </row>
    <row r="31" customFormat="false" ht="15" hidden="false" customHeight="false" outlineLevel="0" collapsed="false">
      <c r="A31" s="32" t="s">
        <v>182</v>
      </c>
      <c r="B31" s="6" t="s">
        <v>183</v>
      </c>
      <c r="C31" s="8" t="s">
        <v>184</v>
      </c>
      <c r="D31" s="37" t="s">
        <v>142</v>
      </c>
      <c r="E31" s="41"/>
    </row>
    <row r="32" customFormat="false" ht="15" hidden="false" customHeight="false" outlineLevel="0" collapsed="false">
      <c r="A32" s="32" t="s">
        <v>185</v>
      </c>
      <c r="B32" s="6" t="s">
        <v>186</v>
      </c>
      <c r="C32" s="8" t="s">
        <v>149</v>
      </c>
      <c r="D32" s="37" t="s">
        <v>142</v>
      </c>
      <c r="E32" s="41"/>
    </row>
    <row r="33" customFormat="false" ht="15" hidden="false" customHeight="false" outlineLevel="0" collapsed="false">
      <c r="A33" s="32" t="s">
        <v>187</v>
      </c>
      <c r="B33" s="6" t="s">
        <v>188</v>
      </c>
      <c r="C33" s="8" t="s">
        <v>147</v>
      </c>
      <c r="D33" s="37" t="s">
        <v>142</v>
      </c>
      <c r="E33" s="41"/>
    </row>
    <row r="34" customFormat="false" ht="15" hidden="false" customHeight="false" outlineLevel="0" collapsed="false">
      <c r="A34" s="32" t="s">
        <v>189</v>
      </c>
      <c r="B34" s="6" t="s">
        <v>190</v>
      </c>
      <c r="C34" s="8" t="s">
        <v>151</v>
      </c>
      <c r="D34" s="37" t="s">
        <v>142</v>
      </c>
      <c r="E34" s="41"/>
    </row>
    <row r="35" customFormat="false" ht="15" hidden="false" customHeight="false" outlineLevel="0" collapsed="false">
      <c r="A35" s="32" t="s">
        <v>191</v>
      </c>
      <c r="B35" s="6" t="s">
        <v>192</v>
      </c>
      <c r="C35" s="8" t="s">
        <v>193</v>
      </c>
      <c r="D35" s="37" t="s">
        <v>142</v>
      </c>
      <c r="E35" s="41"/>
    </row>
    <row r="36" customFormat="false" ht="15" hidden="false" customHeight="false" outlineLevel="0" collapsed="false">
      <c r="A36" s="32" t="s">
        <v>194</v>
      </c>
      <c r="B36" s="6" t="s">
        <v>195</v>
      </c>
      <c r="C36" s="8" t="s">
        <v>147</v>
      </c>
      <c r="D36" s="37" t="s">
        <v>142</v>
      </c>
      <c r="E36" s="41"/>
    </row>
    <row r="37" customFormat="false" ht="15" hidden="false" customHeight="false" outlineLevel="0" collapsed="false">
      <c r="B37" s="29" t="s">
        <v>196</v>
      </c>
      <c r="C37" s="42" t="str">
        <f aca="false">COUNTIF(D24:D36,"已完成")&amp;" / "&amp;COUNTA(A24:A36)</f>
        <v>0 / 13</v>
      </c>
      <c r="D37" s="43" t="n">
        <f aca="false">COUNTIF(D24:D36,"已完成")/COUNTA(A24:A36)</f>
        <v>0</v>
      </c>
    </row>
    <row r="39" customFormat="false" ht="15" hidden="false" customHeight="false" outlineLevel="0" collapsed="false">
      <c r="A39" s="3" t="s">
        <v>197</v>
      </c>
    </row>
    <row r="40" customFormat="false" ht="15" hidden="false" customHeight="false" outlineLevel="0" collapsed="false">
      <c r="A40" s="4" t="s">
        <v>164</v>
      </c>
      <c r="B40" s="4" t="s">
        <v>198</v>
      </c>
      <c r="C40" s="4" t="s">
        <v>166</v>
      </c>
      <c r="D40" s="4" t="s">
        <v>76</v>
      </c>
      <c r="E40" s="4" t="s">
        <v>167</v>
      </c>
    </row>
    <row r="41" customFormat="false" ht="15" hidden="false" customHeight="false" outlineLevel="0" collapsed="false">
      <c r="A41" s="32" t="s">
        <v>199</v>
      </c>
      <c r="B41" s="8" t="s">
        <v>200</v>
      </c>
      <c r="C41" s="8" t="s">
        <v>155</v>
      </c>
      <c r="D41" s="37" t="s">
        <v>142</v>
      </c>
      <c r="E41" s="41"/>
    </row>
    <row r="42" customFormat="false" ht="15" hidden="false" customHeight="false" outlineLevel="0" collapsed="false">
      <c r="A42" s="32" t="s">
        <v>201</v>
      </c>
      <c r="B42" s="6" t="s">
        <v>202</v>
      </c>
      <c r="C42" s="8" t="s">
        <v>155</v>
      </c>
      <c r="D42" s="37" t="s">
        <v>142</v>
      </c>
      <c r="E42" s="41"/>
    </row>
    <row r="43" customFormat="false" ht="15" hidden="false" customHeight="false" outlineLevel="0" collapsed="false">
      <c r="A43" s="32" t="s">
        <v>203</v>
      </c>
      <c r="B43" s="8" t="s">
        <v>204</v>
      </c>
      <c r="C43" s="8" t="s">
        <v>155</v>
      </c>
      <c r="D43" s="37" t="s">
        <v>142</v>
      </c>
      <c r="E43" s="41"/>
    </row>
    <row r="44" customFormat="false" ht="15" hidden="false" customHeight="false" outlineLevel="0" collapsed="false">
      <c r="A44" s="32" t="s">
        <v>205</v>
      </c>
      <c r="B44" s="6" t="s">
        <v>206</v>
      </c>
      <c r="C44" s="6" t="s">
        <v>153</v>
      </c>
      <c r="D44" s="37" t="s">
        <v>142</v>
      </c>
      <c r="E44" s="41"/>
    </row>
    <row r="45" customFormat="false" ht="15" hidden="false" customHeight="false" outlineLevel="0" collapsed="false">
      <c r="A45" s="32" t="s">
        <v>207</v>
      </c>
      <c r="B45" s="6" t="s">
        <v>208</v>
      </c>
      <c r="C45" s="8" t="s">
        <v>149</v>
      </c>
      <c r="D45" s="37" t="s">
        <v>142</v>
      </c>
      <c r="E45" s="41"/>
    </row>
    <row r="46" customFormat="false" ht="15" hidden="false" customHeight="false" outlineLevel="0" collapsed="false">
      <c r="A46" s="32" t="s">
        <v>209</v>
      </c>
      <c r="B46" s="6" t="s">
        <v>210</v>
      </c>
      <c r="C46" s="8" t="s">
        <v>155</v>
      </c>
      <c r="D46" s="37" t="s">
        <v>142</v>
      </c>
      <c r="E46" s="41"/>
    </row>
    <row r="47" customFormat="false" ht="15" hidden="false" customHeight="false" outlineLevel="0" collapsed="false">
      <c r="A47" s="32" t="s">
        <v>211</v>
      </c>
      <c r="B47" s="6" t="s">
        <v>212</v>
      </c>
      <c r="C47" s="8" t="s">
        <v>155</v>
      </c>
      <c r="D47" s="37" t="s">
        <v>142</v>
      </c>
      <c r="E47" s="41"/>
    </row>
  </sheetData>
  <conditionalFormatting sqref="I8:I20">
    <cfRule type="cellIs" priority="2" operator="lessThan" aboveAverage="0" equalAverage="0" bottom="0" percent="0" rank="0" text="" dxfId="2">
      <formula>0</formula>
    </cfRule>
  </conditionalFormatting>
  <dataValidations count="1">
    <dataValidation allowBlank="true" errorStyle="stop" operator="between" showDropDown="false" showErrorMessage="false" showInputMessage="false" sqref="J8:J16 D24:D36 D41:D47" type="list">
      <formula1>"未开始,进行中,已完成,延期,已砍"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4" t="s">
        <v>213</v>
      </c>
      <c r="B1" s="44" t="s">
        <v>214</v>
      </c>
      <c r="C1" s="44" t="s">
        <v>215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</row>
    <row r="3" customFormat="false" ht="27.75" hidden="false" customHeight="true" outlineLevel="0" collapsed="false">
      <c r="A3" s="46" t="s">
        <v>217</v>
      </c>
      <c r="B3" s="47" t="s">
        <v>118</v>
      </c>
      <c r="C3" s="47" t="s">
        <v>218</v>
      </c>
    </row>
    <row r="4" customFormat="false" ht="15" hidden="false" customHeight="false" outlineLevel="0" collapsed="false">
      <c r="A4" s="8" t="s">
        <v>219</v>
      </c>
      <c r="B4" s="48" t="n">
        <v>60</v>
      </c>
      <c r="C4" s="6" t="s">
        <v>220</v>
      </c>
    </row>
    <row r="5" customFormat="false" ht="15" hidden="false" customHeight="false" outlineLevel="0" collapsed="false">
      <c r="A5" s="8" t="s">
        <v>221</v>
      </c>
      <c r="B5" s="48" t="n">
        <v>10</v>
      </c>
      <c r="C5" s="6" t="s">
        <v>222</v>
      </c>
    </row>
    <row r="6" customFormat="false" ht="15" hidden="false" customHeight="false" outlineLevel="0" collapsed="false">
      <c r="A6" s="8" t="s">
        <v>223</v>
      </c>
      <c r="B6" s="49" t="s">
        <v>224</v>
      </c>
      <c r="C6" s="6" t="s">
        <v>225</v>
      </c>
    </row>
    <row r="7" customFormat="false" ht="15" hidden="false" customHeight="false" outlineLevel="0" collapsed="false">
      <c r="A7" s="8" t="s">
        <v>226</v>
      </c>
      <c r="B7" s="48" t="n">
        <v>99</v>
      </c>
      <c r="C7" s="6" t="s">
        <v>227</v>
      </c>
    </row>
    <row r="8" customFormat="false" ht="15" hidden="false" customHeight="false" outlineLevel="0" collapsed="false">
      <c r="A8" s="8" t="s">
        <v>228</v>
      </c>
      <c r="B8" s="50" t="n">
        <v>0.1</v>
      </c>
      <c r="C8" s="6" t="s">
        <v>229</v>
      </c>
    </row>
    <row r="9" customFormat="false" ht="15" hidden="false" customHeight="false" outlineLevel="0" collapsed="false">
      <c r="A9" s="8" t="s">
        <v>230</v>
      </c>
      <c r="B9" s="50" t="n">
        <v>0.3</v>
      </c>
      <c r="C9" s="6" t="s">
        <v>231</v>
      </c>
    </row>
    <row r="10" customFormat="false" ht="15" hidden="false" customHeight="false" outlineLevel="0" collapsed="false">
      <c r="A10" s="8" t="s">
        <v>232</v>
      </c>
      <c r="B10" s="48" t="n">
        <v>300</v>
      </c>
      <c r="C10" s="6" t="s">
        <v>233</v>
      </c>
    </row>
    <row r="11" customFormat="false" ht="15" hidden="false" customHeight="false" outlineLevel="0" collapsed="false">
      <c r="A11" s="8" t="s">
        <v>234</v>
      </c>
      <c r="B11" s="48" t="n">
        <v>0</v>
      </c>
      <c r="C11" s="6" t="s">
        <v>235</v>
      </c>
    </row>
    <row r="12" customFormat="false" ht="15" hidden="false" customHeight="false" outlineLevel="0" collapsed="false">
      <c r="A12" s="8" t="s">
        <v>236</v>
      </c>
      <c r="B12" s="48" t="n">
        <v>6</v>
      </c>
      <c r="C12" s="6" t="s">
        <v>237</v>
      </c>
    </row>
    <row r="13" customFormat="false" ht="15" hidden="false" customHeight="false" outlineLevel="0" collapsed="false">
      <c r="A13" s="8" t="s">
        <v>238</v>
      </c>
      <c r="B13" s="48" t="n">
        <v>1</v>
      </c>
      <c r="C13" s="6" t="s">
        <v>239</v>
      </c>
    </row>
    <row r="14" customFormat="false" ht="15" hidden="false" customHeight="false" outlineLevel="0" collapsed="false">
      <c r="A14" s="8" t="s">
        <v>240</v>
      </c>
      <c r="B14" s="49" t="s">
        <v>241</v>
      </c>
      <c r="C14" s="6" t="s">
        <v>242</v>
      </c>
    </row>
    <row r="15" customFormat="false" ht="15" hidden="false" customHeight="false" outlineLevel="0" collapsed="false">
      <c r="A15" s="8" t="s">
        <v>243</v>
      </c>
      <c r="B15" s="49" t="s">
        <v>244</v>
      </c>
      <c r="C15" s="6" t="s">
        <v>245</v>
      </c>
    </row>
    <row r="16" customFormat="false" ht="15" hidden="false" customHeight="false" outlineLevel="0" collapsed="false">
      <c r="A16" s="8" t="s">
        <v>246</v>
      </c>
      <c r="B16" s="48" t="n">
        <v>20</v>
      </c>
      <c r="C16" s="6" t="s">
        <v>247</v>
      </c>
    </row>
    <row r="17" customFormat="false" ht="15" hidden="false" customHeight="false" outlineLevel="0" collapsed="false">
      <c r="A17" s="8" t="s">
        <v>248</v>
      </c>
      <c r="B17" s="48" t="n">
        <v>7</v>
      </c>
      <c r="C17" s="6" t="s">
        <v>249</v>
      </c>
    </row>
    <row r="18" customFormat="false" ht="15" hidden="false" customHeight="false" outlineLevel="0" collapsed="false">
      <c r="A18" s="8" t="s">
        <v>250</v>
      </c>
      <c r="B18" s="48" t="n">
        <v>9</v>
      </c>
      <c r="C18" s="6" t="s">
        <v>251</v>
      </c>
    </row>
    <row r="19" customFormat="false" ht="15" hidden="false" customHeight="false" outlineLevel="0" collapsed="false">
      <c r="A19" s="8" t="s">
        <v>252</v>
      </c>
      <c r="B19" s="48" t="n">
        <v>100</v>
      </c>
      <c r="C19" s="6" t="s">
        <v>253</v>
      </c>
    </row>
    <row r="20" customFormat="false" ht="15" hidden="false" customHeight="false" outlineLevel="0" collapsed="false">
      <c r="A20" s="8" t="s">
        <v>254</v>
      </c>
      <c r="B20" s="48" t="n">
        <v>3</v>
      </c>
      <c r="C20" s="6" t="s">
        <v>255</v>
      </c>
    </row>
    <row r="21" customFormat="false" ht="15" hidden="false" customHeight="false" outlineLevel="0" collapsed="false">
      <c r="A21" s="8" t="s">
        <v>256</v>
      </c>
      <c r="B21" s="48" t="n">
        <v>200</v>
      </c>
      <c r="C21" s="6" t="s">
        <v>257</v>
      </c>
    </row>
    <row r="22" customFormat="false" ht="15" hidden="false" customHeight="false" outlineLevel="0" collapsed="false">
      <c r="A22" s="8" t="s">
        <v>258</v>
      </c>
      <c r="B22" s="48" t="n">
        <v>300</v>
      </c>
      <c r="C22" s="6" t="s">
        <v>259</v>
      </c>
    </row>
    <row r="23" customFormat="false" ht="15" hidden="false" customHeight="false" outlineLevel="0" collapsed="false">
      <c r="A23" s="8" t="s">
        <v>260</v>
      </c>
      <c r="B23" s="48" t="n">
        <v>5</v>
      </c>
      <c r="C23" s="6" t="s">
        <v>261</v>
      </c>
    </row>
  </sheetData>
  <autoFilter ref="A3:C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23"/>
    <col collapsed="false" customWidth="true" hidden="false" outlineLevel="0" max="6" min="6" style="0" width="27"/>
    <col collapsed="false" customWidth="true" hidden="false" outlineLevel="0" max="7" min="7" style="0" width="13"/>
    <col collapsed="false" customWidth="true" hidden="false" outlineLevel="0" max="8" min="8" style="0" width="28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264</v>
      </c>
      <c r="D1" s="44" t="s">
        <v>265</v>
      </c>
      <c r="E1" s="44" t="s">
        <v>266</v>
      </c>
      <c r="F1" s="44" t="s">
        <v>267</v>
      </c>
      <c r="G1" s="44" t="s">
        <v>268</v>
      </c>
      <c r="H1" s="44" t="s">
        <v>215</v>
      </c>
    </row>
    <row r="2" customFormat="false" ht="15" hidden="false" customHeight="false" outlineLevel="0" collapsed="false">
      <c r="A2" s="45" t="s">
        <v>269</v>
      </c>
      <c r="B2" s="45" t="s">
        <v>216</v>
      </c>
      <c r="C2" s="45" t="s">
        <v>216</v>
      </c>
      <c r="D2" s="45" t="s">
        <v>269</v>
      </c>
      <c r="E2" s="45" t="s">
        <v>269</v>
      </c>
      <c r="F2" s="45" t="s">
        <v>269</v>
      </c>
      <c r="G2" s="45" t="s">
        <v>269</v>
      </c>
      <c r="H2" s="45" t="s">
        <v>216</v>
      </c>
    </row>
    <row r="3" customFormat="false" ht="27.75" hidden="false" customHeight="true" outlineLevel="0" collapsed="false">
      <c r="A3" s="47" t="s">
        <v>270</v>
      </c>
      <c r="B3" s="47" t="s">
        <v>130</v>
      </c>
      <c r="C3" s="47" t="s">
        <v>4</v>
      </c>
      <c r="D3" s="47" t="s">
        <v>271</v>
      </c>
      <c r="E3" s="47" t="s">
        <v>272</v>
      </c>
      <c r="F3" s="47" t="s">
        <v>273</v>
      </c>
      <c r="G3" s="47" t="s">
        <v>274</v>
      </c>
      <c r="H3" s="47" t="s">
        <v>218</v>
      </c>
    </row>
    <row r="4" customFormat="false" ht="15" hidden="false" customHeight="false" outlineLevel="0" collapsed="false">
      <c r="A4" s="33" t="n">
        <v>1001</v>
      </c>
      <c r="B4" s="6" t="s">
        <v>275</v>
      </c>
      <c r="C4" s="8" t="s">
        <v>276</v>
      </c>
      <c r="D4" s="33" t="n">
        <v>99</v>
      </c>
      <c r="E4" s="17" t="n">
        <v>8</v>
      </c>
      <c r="F4" s="17" t="n">
        <v>0</v>
      </c>
      <c r="G4" s="33" t="n">
        <v>1</v>
      </c>
      <c r="H4" s="8" t="s">
        <v>277</v>
      </c>
    </row>
    <row r="5" customFormat="false" ht="15" hidden="false" customHeight="false" outlineLevel="0" collapsed="false">
      <c r="A5" s="33" t="n">
        <v>1002</v>
      </c>
      <c r="B5" s="6" t="s">
        <v>278</v>
      </c>
      <c r="C5" s="8" t="s">
        <v>276</v>
      </c>
      <c r="D5" s="33" t="n">
        <v>99</v>
      </c>
      <c r="E5" s="17" t="n">
        <v>12</v>
      </c>
      <c r="F5" s="17" t="n">
        <v>0</v>
      </c>
      <c r="G5" s="33" t="n">
        <v>2</v>
      </c>
      <c r="H5" s="8" t="s">
        <v>279</v>
      </c>
    </row>
    <row r="6" customFormat="false" ht="15" hidden="false" customHeight="false" outlineLevel="0" collapsed="false">
      <c r="A6" s="33" t="n">
        <v>1003</v>
      </c>
      <c r="B6" s="6" t="s">
        <v>280</v>
      </c>
      <c r="C6" s="8" t="s">
        <v>276</v>
      </c>
      <c r="D6" s="33" t="n">
        <v>99</v>
      </c>
      <c r="E6" s="17" t="n">
        <v>12</v>
      </c>
      <c r="F6" s="17" t="n">
        <v>0</v>
      </c>
      <c r="G6" s="33" t="n">
        <v>3</v>
      </c>
      <c r="H6" s="8" t="s">
        <v>281</v>
      </c>
    </row>
    <row r="7" customFormat="false" ht="15" hidden="false" customHeight="false" outlineLevel="0" collapsed="false">
      <c r="A7" s="33" t="n">
        <v>1004</v>
      </c>
      <c r="B7" s="6" t="s">
        <v>282</v>
      </c>
      <c r="C7" s="8" t="s">
        <v>276</v>
      </c>
      <c r="D7" s="33" t="n">
        <v>99</v>
      </c>
      <c r="E7" s="17" t="n">
        <v>18</v>
      </c>
      <c r="F7" s="17" t="n">
        <v>0</v>
      </c>
      <c r="G7" s="33" t="n">
        <v>5</v>
      </c>
      <c r="H7" s="8" t="s">
        <v>283</v>
      </c>
    </row>
    <row r="8" customFormat="false" ht="15" hidden="false" customHeight="false" outlineLevel="0" collapsed="false">
      <c r="A8" s="33" t="n">
        <v>1005</v>
      </c>
      <c r="B8" s="6" t="s">
        <v>284</v>
      </c>
      <c r="C8" s="8" t="s">
        <v>276</v>
      </c>
      <c r="D8" s="33" t="n">
        <v>99</v>
      </c>
      <c r="E8" s="17" t="n">
        <v>20</v>
      </c>
      <c r="F8" s="17" t="n">
        <v>0</v>
      </c>
      <c r="G8" s="33" t="n">
        <v>7</v>
      </c>
      <c r="H8" s="8" t="s">
        <v>285</v>
      </c>
    </row>
    <row r="9" customFormat="false" ht="15" hidden="false" customHeight="false" outlineLevel="0" collapsed="false">
      <c r="A9" s="33" t="n">
        <v>1006</v>
      </c>
      <c r="B9" s="6" t="s">
        <v>286</v>
      </c>
      <c r="C9" s="8" t="s">
        <v>276</v>
      </c>
      <c r="D9" s="33" t="n">
        <v>99</v>
      </c>
      <c r="E9" s="17" t="n">
        <v>30</v>
      </c>
      <c r="F9" s="17" t="n">
        <v>0</v>
      </c>
      <c r="G9" s="33" t="n">
        <v>9</v>
      </c>
      <c r="H9" s="8" t="s">
        <v>287</v>
      </c>
    </row>
    <row r="10" customFormat="false" ht="15" hidden="false" customHeight="false" outlineLevel="0" collapsed="false">
      <c r="A10" s="33" t="n">
        <v>1007</v>
      </c>
      <c r="B10" s="6" t="s">
        <v>288</v>
      </c>
      <c r="C10" s="8" t="s">
        <v>276</v>
      </c>
      <c r="D10" s="33" t="n">
        <v>99</v>
      </c>
      <c r="E10" s="17" t="n">
        <v>40</v>
      </c>
      <c r="F10" s="17" t="n">
        <v>0</v>
      </c>
      <c r="G10" s="33" t="n">
        <v>12</v>
      </c>
      <c r="H10" s="8" t="s">
        <v>289</v>
      </c>
    </row>
    <row r="11" customFormat="false" ht="15" hidden="false" customHeight="false" outlineLevel="0" collapsed="false">
      <c r="A11" s="33" t="n">
        <v>2001</v>
      </c>
      <c r="B11" s="6" t="s">
        <v>290</v>
      </c>
      <c r="C11" s="8" t="s">
        <v>291</v>
      </c>
      <c r="D11" s="33" t="n">
        <v>99</v>
      </c>
      <c r="E11" s="17" t="n">
        <v>0</v>
      </c>
      <c r="F11" s="17" t="n">
        <v>10</v>
      </c>
      <c r="G11" s="33" t="n">
        <v>1</v>
      </c>
      <c r="H11" s="6" t="s">
        <v>292</v>
      </c>
    </row>
    <row r="12" customFormat="false" ht="15" hidden="false" customHeight="false" outlineLevel="0" collapsed="false">
      <c r="A12" s="33" t="n">
        <v>2002</v>
      </c>
      <c r="B12" s="6" t="s">
        <v>293</v>
      </c>
      <c r="C12" s="8" t="s">
        <v>291</v>
      </c>
      <c r="D12" s="33" t="n">
        <v>99</v>
      </c>
      <c r="E12" s="17" t="n">
        <v>0</v>
      </c>
      <c r="F12" s="17" t="n">
        <v>15</v>
      </c>
      <c r="G12" s="33" t="n">
        <v>2</v>
      </c>
      <c r="H12" s="6" t="s">
        <v>294</v>
      </c>
    </row>
    <row r="13" customFormat="false" ht="15" hidden="false" customHeight="false" outlineLevel="0" collapsed="false">
      <c r="A13" s="33" t="n">
        <v>2003</v>
      </c>
      <c r="B13" s="6" t="s">
        <v>295</v>
      </c>
      <c r="C13" s="8" t="s">
        <v>291</v>
      </c>
      <c r="D13" s="33" t="n">
        <v>99</v>
      </c>
      <c r="E13" s="17" t="n">
        <v>0</v>
      </c>
      <c r="F13" s="17" t="n">
        <v>20</v>
      </c>
      <c r="G13" s="33" t="n">
        <v>3</v>
      </c>
      <c r="H13" s="6" t="s">
        <v>296</v>
      </c>
    </row>
    <row r="14" customFormat="false" ht="15" hidden="false" customHeight="false" outlineLevel="0" collapsed="false">
      <c r="A14" s="33" t="n">
        <v>2004</v>
      </c>
      <c r="B14" s="6" t="s">
        <v>297</v>
      </c>
      <c r="C14" s="8" t="s">
        <v>291</v>
      </c>
      <c r="D14" s="33" t="n">
        <v>99</v>
      </c>
      <c r="E14" s="17" t="n">
        <v>0</v>
      </c>
      <c r="F14" s="17" t="n">
        <v>30</v>
      </c>
      <c r="G14" s="33" t="n">
        <v>5</v>
      </c>
      <c r="H14" s="6" t="s">
        <v>298</v>
      </c>
    </row>
    <row r="15" customFormat="false" ht="15" hidden="false" customHeight="false" outlineLevel="0" collapsed="false">
      <c r="A15" s="33" t="n">
        <v>2005</v>
      </c>
      <c r="B15" s="6" t="s">
        <v>299</v>
      </c>
      <c r="C15" s="8" t="s">
        <v>291</v>
      </c>
      <c r="D15" s="33" t="n">
        <v>99</v>
      </c>
      <c r="E15" s="17" t="n">
        <v>0</v>
      </c>
      <c r="F15" s="17" t="n">
        <v>40</v>
      </c>
      <c r="G15" s="33" t="n">
        <v>7</v>
      </c>
      <c r="H15" s="6" t="s">
        <v>300</v>
      </c>
    </row>
    <row r="16" customFormat="false" ht="15" hidden="false" customHeight="false" outlineLevel="0" collapsed="false">
      <c r="A16" s="33" t="n">
        <v>2006</v>
      </c>
      <c r="B16" s="6" t="s">
        <v>301</v>
      </c>
      <c r="C16" s="8" t="s">
        <v>291</v>
      </c>
      <c r="D16" s="33" t="n">
        <v>99</v>
      </c>
      <c r="E16" s="17" t="n">
        <v>0</v>
      </c>
      <c r="F16" s="17" t="n">
        <v>60</v>
      </c>
      <c r="G16" s="33" t="n">
        <v>9</v>
      </c>
      <c r="H16" s="6" t="s">
        <v>302</v>
      </c>
    </row>
    <row r="17" customFormat="false" ht="15" hidden="false" customHeight="false" outlineLevel="0" collapsed="false">
      <c r="A17" s="33" t="n">
        <v>2007</v>
      </c>
      <c r="B17" s="6" t="s">
        <v>303</v>
      </c>
      <c r="C17" s="8" t="s">
        <v>291</v>
      </c>
      <c r="D17" s="33" t="n">
        <v>99</v>
      </c>
      <c r="E17" s="17" t="n">
        <v>0</v>
      </c>
      <c r="F17" s="17" t="n">
        <v>80</v>
      </c>
      <c r="G17" s="33" t="n">
        <v>12</v>
      </c>
      <c r="H17" s="6" t="s">
        <v>304</v>
      </c>
    </row>
    <row r="18" customFormat="false" ht="15" hidden="false" customHeight="false" outlineLevel="0" collapsed="false">
      <c r="A18" s="33" t="n">
        <v>3001</v>
      </c>
      <c r="B18" s="6" t="s">
        <v>305</v>
      </c>
      <c r="C18" s="8" t="s">
        <v>306</v>
      </c>
      <c r="D18" s="33" t="n">
        <v>99</v>
      </c>
      <c r="E18" s="17" t="n">
        <v>32</v>
      </c>
      <c r="F18" s="17" t="n">
        <v>0</v>
      </c>
      <c r="G18" s="33" t="n">
        <v>2</v>
      </c>
      <c r="H18" s="8" t="s">
        <v>307</v>
      </c>
    </row>
    <row r="19" customFormat="false" ht="15" hidden="false" customHeight="false" outlineLevel="0" collapsed="false">
      <c r="A19" s="33" t="n">
        <v>3002</v>
      </c>
      <c r="B19" s="6" t="s">
        <v>308</v>
      </c>
      <c r="C19" s="8" t="s">
        <v>306</v>
      </c>
      <c r="D19" s="33" t="n">
        <v>99</v>
      </c>
      <c r="E19" s="17" t="n">
        <v>90</v>
      </c>
      <c r="F19" s="17" t="n">
        <v>0</v>
      </c>
      <c r="G19" s="33" t="n">
        <v>4</v>
      </c>
      <c r="H19" s="8" t="s">
        <v>309</v>
      </c>
    </row>
    <row r="20" customFormat="false" ht="15" hidden="false" customHeight="false" outlineLevel="0" collapsed="false">
      <c r="A20" s="33" t="n">
        <v>3003</v>
      </c>
      <c r="B20" s="6" t="s">
        <v>310</v>
      </c>
      <c r="C20" s="8" t="s">
        <v>306</v>
      </c>
      <c r="D20" s="33" t="n">
        <v>99</v>
      </c>
      <c r="E20" s="17" t="n">
        <v>80</v>
      </c>
      <c r="F20" s="17" t="n">
        <v>0</v>
      </c>
      <c r="G20" s="33" t="n">
        <v>4</v>
      </c>
      <c r="H20" s="8" t="s">
        <v>311</v>
      </c>
    </row>
    <row r="21" customFormat="false" ht="15" hidden="false" customHeight="false" outlineLevel="0" collapsed="false">
      <c r="A21" s="33" t="n">
        <v>3004</v>
      </c>
      <c r="B21" s="6" t="s">
        <v>312</v>
      </c>
      <c r="C21" s="8" t="s">
        <v>306</v>
      </c>
      <c r="D21" s="33" t="n">
        <v>99</v>
      </c>
      <c r="E21" s="17" t="n">
        <v>85</v>
      </c>
      <c r="F21" s="17" t="n">
        <v>0</v>
      </c>
      <c r="G21" s="33" t="n">
        <v>5</v>
      </c>
      <c r="H21" s="8" t="s">
        <v>313</v>
      </c>
    </row>
    <row r="22" customFormat="false" ht="15" hidden="false" customHeight="false" outlineLevel="0" collapsed="false">
      <c r="A22" s="33" t="n">
        <v>3005</v>
      </c>
      <c r="B22" s="6" t="s">
        <v>314</v>
      </c>
      <c r="C22" s="8" t="s">
        <v>306</v>
      </c>
      <c r="D22" s="33" t="n">
        <v>99</v>
      </c>
      <c r="E22" s="17" t="n">
        <v>45</v>
      </c>
      <c r="F22" s="17" t="n">
        <v>0</v>
      </c>
      <c r="G22" s="33" t="n">
        <v>4</v>
      </c>
      <c r="H22" s="8" t="s">
        <v>315</v>
      </c>
    </row>
    <row r="23" customFormat="false" ht="15" hidden="false" customHeight="false" outlineLevel="0" collapsed="false">
      <c r="A23" s="33" t="n">
        <v>3006</v>
      </c>
      <c r="B23" s="6" t="s">
        <v>316</v>
      </c>
      <c r="C23" s="8" t="s">
        <v>306</v>
      </c>
      <c r="D23" s="33" t="n">
        <v>99</v>
      </c>
      <c r="E23" s="17" t="n">
        <v>130</v>
      </c>
      <c r="F23" s="17" t="n">
        <v>0</v>
      </c>
      <c r="G23" s="33" t="n">
        <v>7</v>
      </c>
      <c r="H23" s="8" t="s">
        <v>317</v>
      </c>
    </row>
    <row r="24" customFormat="false" ht="15" hidden="false" customHeight="false" outlineLevel="0" collapsed="false">
      <c r="A24" s="33" t="n">
        <v>3007</v>
      </c>
      <c r="B24" s="6" t="s">
        <v>318</v>
      </c>
      <c r="C24" s="8" t="s">
        <v>306</v>
      </c>
      <c r="D24" s="33" t="n">
        <v>99</v>
      </c>
      <c r="E24" s="17" t="n">
        <v>260</v>
      </c>
      <c r="F24" s="17" t="n">
        <v>0</v>
      </c>
      <c r="G24" s="33" t="n">
        <v>9</v>
      </c>
      <c r="H24" s="8" t="s">
        <v>319</v>
      </c>
    </row>
    <row r="25" customFormat="false" ht="15" hidden="false" customHeight="false" outlineLevel="0" collapsed="false">
      <c r="A25" s="33" t="n">
        <v>3008</v>
      </c>
      <c r="B25" s="6" t="s">
        <v>320</v>
      </c>
      <c r="C25" s="8" t="s">
        <v>306</v>
      </c>
      <c r="D25" s="33" t="n">
        <v>99</v>
      </c>
      <c r="E25" s="17" t="n">
        <v>190</v>
      </c>
      <c r="F25" s="17" t="n">
        <v>0</v>
      </c>
      <c r="G25" s="33" t="n">
        <v>12</v>
      </c>
      <c r="H25" s="8" t="s">
        <v>321</v>
      </c>
    </row>
    <row r="26" customFormat="false" ht="15" hidden="false" customHeight="false" outlineLevel="0" collapsed="false">
      <c r="A26" s="33" t="n">
        <v>3009</v>
      </c>
      <c r="B26" s="6" t="s">
        <v>322</v>
      </c>
      <c r="C26" s="8" t="s">
        <v>306</v>
      </c>
      <c r="D26" s="33" t="n">
        <v>99</v>
      </c>
      <c r="E26" s="17" t="n">
        <v>35</v>
      </c>
      <c r="F26" s="17" t="n">
        <v>0</v>
      </c>
      <c r="G26" s="33" t="n">
        <v>3</v>
      </c>
      <c r="H26" s="8" t="s">
        <v>323</v>
      </c>
    </row>
    <row r="27" customFormat="false" ht="15" hidden="false" customHeight="false" outlineLevel="0" collapsed="false">
      <c r="A27" s="33" t="n">
        <v>3010</v>
      </c>
      <c r="B27" s="6" t="s">
        <v>324</v>
      </c>
      <c r="C27" s="8" t="s">
        <v>306</v>
      </c>
      <c r="D27" s="33" t="n">
        <v>99</v>
      </c>
      <c r="E27" s="17" t="n">
        <v>35</v>
      </c>
      <c r="F27" s="17" t="n">
        <v>0</v>
      </c>
      <c r="G27" s="33" t="n">
        <v>3</v>
      </c>
      <c r="H27" s="8" t="s">
        <v>325</v>
      </c>
    </row>
    <row r="28" customFormat="false" ht="15" hidden="false" customHeight="false" outlineLevel="0" collapsed="false">
      <c r="A28" s="33" t="n">
        <v>3011</v>
      </c>
      <c r="B28" s="6" t="s">
        <v>326</v>
      </c>
      <c r="C28" s="8" t="s">
        <v>306</v>
      </c>
      <c r="D28" s="33" t="n">
        <v>99</v>
      </c>
      <c r="E28" s="17" t="n">
        <v>45</v>
      </c>
      <c r="F28" s="17" t="n">
        <v>0</v>
      </c>
      <c r="G28" s="33" t="n">
        <v>6</v>
      </c>
      <c r="H28" s="8" t="s">
        <v>327</v>
      </c>
    </row>
    <row r="29" customFormat="false" ht="15" hidden="false" customHeight="false" outlineLevel="0" collapsed="false">
      <c r="A29" s="33" t="n">
        <v>4001</v>
      </c>
      <c r="B29" s="6" t="s">
        <v>328</v>
      </c>
      <c r="C29" s="8" t="s">
        <v>329</v>
      </c>
      <c r="D29" s="33" t="n">
        <v>99</v>
      </c>
      <c r="E29" s="17" t="n">
        <v>6</v>
      </c>
      <c r="F29" s="17" t="n">
        <v>0</v>
      </c>
      <c r="G29" s="33" t="n">
        <v>1</v>
      </c>
      <c r="H29" s="6" t="s">
        <v>330</v>
      </c>
    </row>
    <row r="30" customFormat="false" ht="15" hidden="false" customHeight="false" outlineLevel="0" collapsed="false">
      <c r="A30" s="33" t="n">
        <v>4002</v>
      </c>
      <c r="B30" s="6" t="s">
        <v>331</v>
      </c>
      <c r="C30" s="8" t="s">
        <v>329</v>
      </c>
      <c r="D30" s="33" t="n">
        <v>99</v>
      </c>
      <c r="E30" s="17" t="n">
        <v>6</v>
      </c>
      <c r="F30" s="17" t="n">
        <v>0</v>
      </c>
      <c r="G30" s="33" t="n">
        <v>3</v>
      </c>
      <c r="H30" s="6" t="s">
        <v>332</v>
      </c>
    </row>
    <row r="31" customFormat="false" ht="15" hidden="false" customHeight="false" outlineLevel="0" collapsed="false">
      <c r="A31" s="33" t="n">
        <v>4003</v>
      </c>
      <c r="B31" s="6" t="s">
        <v>333</v>
      </c>
      <c r="C31" s="8" t="s">
        <v>329</v>
      </c>
      <c r="D31" s="33" t="n">
        <v>99</v>
      </c>
      <c r="E31" s="17" t="n">
        <v>5</v>
      </c>
      <c r="F31" s="17" t="n">
        <v>0</v>
      </c>
      <c r="G31" s="33" t="n">
        <v>6</v>
      </c>
      <c r="H31" s="6" t="s">
        <v>334</v>
      </c>
    </row>
    <row r="32" customFormat="false" ht="15" hidden="false" customHeight="false" outlineLevel="0" collapsed="false">
      <c r="A32" s="33" t="n">
        <v>4004</v>
      </c>
      <c r="B32" s="6" t="s">
        <v>335</v>
      </c>
      <c r="C32" s="8" t="s">
        <v>329</v>
      </c>
      <c r="D32" s="33" t="n">
        <v>99</v>
      </c>
      <c r="E32" s="17" t="n">
        <v>7</v>
      </c>
      <c r="F32" s="17" t="n">
        <v>0</v>
      </c>
      <c r="G32" s="33" t="n">
        <v>1</v>
      </c>
      <c r="H32" s="6" t="s">
        <v>336</v>
      </c>
    </row>
    <row r="33" customFormat="false" ht="15" hidden="false" customHeight="false" outlineLevel="0" collapsed="false">
      <c r="A33" s="33" t="n">
        <v>4101</v>
      </c>
      <c r="B33" s="6" t="s">
        <v>337</v>
      </c>
      <c r="C33" s="8" t="s">
        <v>338</v>
      </c>
      <c r="D33" s="33" t="n">
        <v>99</v>
      </c>
      <c r="E33" s="17" t="n">
        <v>30</v>
      </c>
      <c r="F33" s="17" t="n">
        <v>0</v>
      </c>
      <c r="G33" s="33" t="n">
        <v>1</v>
      </c>
      <c r="H33" s="6" t="s">
        <v>339</v>
      </c>
    </row>
    <row r="34" customFormat="false" ht="15" hidden="false" customHeight="false" outlineLevel="0" collapsed="false">
      <c r="A34" s="33" t="n">
        <v>4102</v>
      </c>
      <c r="B34" s="6" t="s">
        <v>340</v>
      </c>
      <c r="C34" s="8" t="s">
        <v>338</v>
      </c>
      <c r="D34" s="33" t="n">
        <v>99</v>
      </c>
      <c r="E34" s="17" t="n">
        <v>50</v>
      </c>
      <c r="F34" s="17" t="n">
        <v>0</v>
      </c>
      <c r="G34" s="33" t="n">
        <v>3</v>
      </c>
      <c r="H34" s="6" t="s">
        <v>341</v>
      </c>
    </row>
    <row r="35" customFormat="false" ht="15" hidden="false" customHeight="false" outlineLevel="0" collapsed="false">
      <c r="A35" s="33" t="n">
        <v>4103</v>
      </c>
      <c r="B35" s="6" t="s">
        <v>342</v>
      </c>
      <c r="C35" s="8" t="s">
        <v>338</v>
      </c>
      <c r="D35" s="33" t="n">
        <v>99</v>
      </c>
      <c r="E35" s="17" t="n">
        <v>40</v>
      </c>
      <c r="F35" s="17" t="n">
        <v>0</v>
      </c>
      <c r="G35" s="33" t="n">
        <v>6</v>
      </c>
      <c r="H35" s="6" t="s">
        <v>343</v>
      </c>
    </row>
    <row r="36" customFormat="false" ht="15" hidden="false" customHeight="false" outlineLevel="0" collapsed="false">
      <c r="A36" s="33" t="n">
        <v>4104</v>
      </c>
      <c r="B36" s="6" t="s">
        <v>344</v>
      </c>
      <c r="C36" s="8" t="s">
        <v>338</v>
      </c>
      <c r="D36" s="33" t="n">
        <v>99</v>
      </c>
      <c r="E36" s="17" t="n">
        <v>35</v>
      </c>
      <c r="F36" s="17" t="n">
        <v>0</v>
      </c>
      <c r="G36" s="33" t="n">
        <v>1</v>
      </c>
      <c r="H36" s="6" t="s">
        <v>345</v>
      </c>
    </row>
    <row r="37" customFormat="false" ht="15" hidden="false" customHeight="false" outlineLevel="0" collapsed="false">
      <c r="A37" s="33" t="n">
        <v>5001</v>
      </c>
      <c r="B37" s="6" t="s">
        <v>346</v>
      </c>
      <c r="C37" s="8" t="s">
        <v>347</v>
      </c>
      <c r="D37" s="33" t="n">
        <v>99</v>
      </c>
      <c r="E37" s="17" t="n">
        <v>0</v>
      </c>
      <c r="F37" s="17" t="n">
        <v>60</v>
      </c>
      <c r="G37" s="33" t="n">
        <v>1</v>
      </c>
      <c r="H37" s="6" t="s">
        <v>348</v>
      </c>
    </row>
    <row r="38" customFormat="false" ht="15" hidden="false" customHeight="false" outlineLevel="0" collapsed="false">
      <c r="A38" s="33" t="n">
        <v>5101</v>
      </c>
      <c r="B38" s="6" t="s">
        <v>349</v>
      </c>
      <c r="C38" s="8" t="s">
        <v>350</v>
      </c>
      <c r="D38" s="33" t="n">
        <v>1</v>
      </c>
      <c r="E38" s="17" t="n">
        <v>0</v>
      </c>
      <c r="F38" s="17" t="n">
        <v>0</v>
      </c>
      <c r="G38" s="33" t="n">
        <v>1</v>
      </c>
      <c r="H38" s="6" t="s">
        <v>351</v>
      </c>
    </row>
    <row r="39" customFormat="false" ht="15" hidden="false" customHeight="false" outlineLevel="0" collapsed="false">
      <c r="A39" s="33" t="n">
        <v>5102</v>
      </c>
      <c r="B39" s="6" t="s">
        <v>352</v>
      </c>
      <c r="C39" s="8" t="s">
        <v>350</v>
      </c>
      <c r="D39" s="33" t="n">
        <v>1</v>
      </c>
      <c r="E39" s="17" t="n">
        <v>0</v>
      </c>
      <c r="F39" s="17" t="n">
        <v>0</v>
      </c>
      <c r="G39" s="33" t="n">
        <v>3</v>
      </c>
      <c r="H39" s="6" t="s">
        <v>353</v>
      </c>
    </row>
    <row r="40" customFormat="false" ht="15" hidden="false" customHeight="false" outlineLevel="0" collapsed="false">
      <c r="A40" s="33" t="n">
        <v>5103</v>
      </c>
      <c r="B40" s="6" t="s">
        <v>354</v>
      </c>
      <c r="C40" s="8" t="s">
        <v>350</v>
      </c>
      <c r="D40" s="33" t="n">
        <v>1</v>
      </c>
      <c r="E40" s="17" t="n">
        <v>0</v>
      </c>
      <c r="F40" s="17" t="n">
        <v>0</v>
      </c>
      <c r="G40" s="33" t="n">
        <v>1</v>
      </c>
      <c r="H40" s="6" t="s">
        <v>355</v>
      </c>
    </row>
    <row r="41" customFormat="false" ht="15" hidden="false" customHeight="false" outlineLevel="0" collapsed="false">
      <c r="A41" s="33" t="n">
        <v>9001</v>
      </c>
      <c r="B41" s="6" t="s">
        <v>356</v>
      </c>
      <c r="C41" s="8" t="s">
        <v>357</v>
      </c>
      <c r="D41" s="33" t="n">
        <v>0</v>
      </c>
      <c r="E41" s="17" t="n">
        <v>0</v>
      </c>
      <c r="F41" s="17" t="n">
        <v>0</v>
      </c>
      <c r="G41" s="33" t="n">
        <v>1</v>
      </c>
      <c r="H41" s="6" t="s">
        <v>358</v>
      </c>
    </row>
    <row r="42" customFormat="false" ht="15" hidden="false" customHeight="false" outlineLevel="0" collapsed="false">
      <c r="A42" s="33" t="n">
        <v>9002</v>
      </c>
      <c r="B42" s="6" t="s">
        <v>359</v>
      </c>
      <c r="C42" s="8" t="s">
        <v>357</v>
      </c>
      <c r="D42" s="33" t="n">
        <v>0</v>
      </c>
      <c r="E42" s="17" t="n">
        <v>0</v>
      </c>
      <c r="F42" s="17" t="n">
        <v>0</v>
      </c>
      <c r="G42" s="33" t="n">
        <v>1</v>
      </c>
      <c r="H42" s="6" t="s">
        <v>360</v>
      </c>
    </row>
    <row r="43" customFormat="false" ht="15" hidden="false" customHeight="false" outlineLevel="0" collapsed="false">
      <c r="A43" s="33" t="n">
        <v>9003</v>
      </c>
      <c r="B43" s="6" t="s">
        <v>361</v>
      </c>
      <c r="C43" s="8" t="s">
        <v>357</v>
      </c>
      <c r="D43" s="33" t="n">
        <v>0</v>
      </c>
      <c r="E43" s="17" t="n">
        <v>0</v>
      </c>
      <c r="F43" s="17" t="n">
        <v>0</v>
      </c>
      <c r="G43" s="33" t="n">
        <v>1</v>
      </c>
      <c r="H43" s="6" t="s">
        <v>362</v>
      </c>
    </row>
    <row r="44" customFormat="false" ht="15" hidden="false" customHeight="false" outlineLevel="0" collapsed="false">
      <c r="A44" s="33" t="n">
        <v>9101</v>
      </c>
      <c r="B44" s="6" t="s">
        <v>363</v>
      </c>
      <c r="C44" s="8" t="s">
        <v>357</v>
      </c>
      <c r="D44" s="33" t="n">
        <v>0</v>
      </c>
      <c r="E44" s="17" t="n">
        <v>0</v>
      </c>
      <c r="F44" s="17" t="n">
        <v>0</v>
      </c>
      <c r="G44" s="33" t="n">
        <v>1</v>
      </c>
      <c r="H44" s="6" t="s">
        <v>364</v>
      </c>
    </row>
  </sheetData>
  <autoFilter ref="A3:H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9" min="7" style="0" width="10"/>
    <col collapsed="false" customWidth="true" hidden="false" outlineLevel="0" max="10" min="10" style="0" width="19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30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365</v>
      </c>
      <c r="D1" s="44" t="s">
        <v>366</v>
      </c>
      <c r="E1" s="44" t="s">
        <v>268</v>
      </c>
      <c r="F1" s="44" t="s">
        <v>367</v>
      </c>
      <c r="G1" s="44" t="s">
        <v>368</v>
      </c>
      <c r="H1" s="44" t="s">
        <v>369</v>
      </c>
      <c r="I1" s="44" t="s">
        <v>370</v>
      </c>
      <c r="J1" s="44" t="s">
        <v>371</v>
      </c>
      <c r="K1" s="51" t="s">
        <v>372</v>
      </c>
      <c r="L1" s="51" t="s">
        <v>373</v>
      </c>
      <c r="M1" s="51" t="s">
        <v>374</v>
      </c>
      <c r="N1" s="51" t="s">
        <v>375</v>
      </c>
      <c r="O1" s="51" t="s">
        <v>376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269</v>
      </c>
      <c r="D2" s="45" t="s">
        <v>269</v>
      </c>
      <c r="E2" s="45" t="s">
        <v>269</v>
      </c>
      <c r="F2" s="45" t="s">
        <v>269</v>
      </c>
      <c r="G2" s="45" t="s">
        <v>269</v>
      </c>
      <c r="H2" s="45" t="s">
        <v>269</v>
      </c>
      <c r="I2" s="45" t="s">
        <v>269</v>
      </c>
      <c r="J2" s="45" t="s">
        <v>216</v>
      </c>
      <c r="K2" s="52" t="s">
        <v>377</v>
      </c>
      <c r="L2" s="52" t="s">
        <v>377</v>
      </c>
      <c r="M2" s="52" t="s">
        <v>377</v>
      </c>
      <c r="N2" s="52" t="s">
        <v>377</v>
      </c>
      <c r="O2" s="52" t="s">
        <v>377</v>
      </c>
    </row>
    <row r="3" customFormat="false" ht="27.75" hidden="false" customHeight="true" outlineLevel="0" collapsed="false">
      <c r="A3" s="47" t="s">
        <v>378</v>
      </c>
      <c r="B3" s="47" t="s">
        <v>130</v>
      </c>
      <c r="C3" s="47" t="s">
        <v>379</v>
      </c>
      <c r="D3" s="47" t="s">
        <v>380</v>
      </c>
      <c r="E3" s="47" t="s">
        <v>274</v>
      </c>
      <c r="F3" s="47" t="s">
        <v>381</v>
      </c>
      <c r="G3" s="47" t="s">
        <v>382</v>
      </c>
      <c r="H3" s="47" t="s">
        <v>383</v>
      </c>
      <c r="I3" s="47" t="s">
        <v>384</v>
      </c>
      <c r="J3" s="46" t="s">
        <v>385</v>
      </c>
      <c r="K3" s="53" t="s">
        <v>386</v>
      </c>
      <c r="L3" s="53" t="s">
        <v>387</v>
      </c>
      <c r="M3" s="53" t="s">
        <v>388</v>
      </c>
      <c r="N3" s="53" t="s">
        <v>389</v>
      </c>
      <c r="O3" s="53" t="s">
        <v>390</v>
      </c>
    </row>
    <row r="4" customFormat="false" ht="15" hidden="false" customHeight="false" outlineLevel="0" collapsed="false">
      <c r="A4" s="8" t="s">
        <v>391</v>
      </c>
      <c r="B4" s="6" t="s">
        <v>275</v>
      </c>
      <c r="C4" s="33" t="n">
        <v>2001</v>
      </c>
      <c r="D4" s="33" t="n">
        <v>1001</v>
      </c>
      <c r="E4" s="33" t="n">
        <v>1</v>
      </c>
      <c r="F4" s="17" t="n">
        <v>120</v>
      </c>
      <c r="G4" s="33" t="n">
        <v>2</v>
      </c>
      <c r="H4" s="33" t="n">
        <v>3</v>
      </c>
      <c r="I4" s="33" t="n">
        <v>2</v>
      </c>
      <c r="J4" s="8" t="s">
        <v>392</v>
      </c>
      <c r="K4" s="18" t="n">
        <f aca="false">INDEX(Item!$F$4:$F$44,MATCH(C4,Item!$A$4:$A$44,0))</f>
        <v>10</v>
      </c>
      <c r="L4" s="18" t="n">
        <f aca="false">INDEX(Item!$E$4:$E$44,MATCH(D4,Item!$A$4:$A$44,0))</f>
        <v>8</v>
      </c>
      <c r="M4" s="35" t="n">
        <f aca="false">(G4+H4)/2</f>
        <v>2.5</v>
      </c>
      <c r="N4" s="54" t="n">
        <f aca="false">M4*L4-K4</f>
        <v>10</v>
      </c>
      <c r="O4" s="54" t="n">
        <f aca="false">N4/(F4/3600)</f>
        <v>300</v>
      </c>
    </row>
    <row r="5" customFormat="false" ht="15" hidden="false" customHeight="false" outlineLevel="0" collapsed="false">
      <c r="A5" s="8" t="s">
        <v>393</v>
      </c>
      <c r="B5" s="6" t="s">
        <v>278</v>
      </c>
      <c r="C5" s="33" t="n">
        <v>2002</v>
      </c>
      <c r="D5" s="33" t="n">
        <v>1002</v>
      </c>
      <c r="E5" s="33" t="n">
        <v>2</v>
      </c>
      <c r="F5" s="17" t="n">
        <v>300</v>
      </c>
      <c r="G5" s="33" t="n">
        <v>2</v>
      </c>
      <c r="H5" s="33" t="n">
        <v>3</v>
      </c>
      <c r="I5" s="33" t="n">
        <v>3</v>
      </c>
      <c r="J5" s="8" t="s">
        <v>392</v>
      </c>
      <c r="K5" s="18" t="n">
        <f aca="false">INDEX(Item!$F$4:$F$44,MATCH(C5,Item!$A$4:$A$44,0))</f>
        <v>15</v>
      </c>
      <c r="L5" s="18" t="n">
        <f aca="false">INDEX(Item!$E$4:$E$44,MATCH(D5,Item!$A$4:$A$44,0))</f>
        <v>12</v>
      </c>
      <c r="M5" s="35" t="n">
        <f aca="false">(G5+H5)/2</f>
        <v>2.5</v>
      </c>
      <c r="N5" s="54" t="n">
        <f aca="false">M5*L5-K5</f>
        <v>15</v>
      </c>
      <c r="O5" s="54" t="n">
        <f aca="false">N5/(F5/3600)</f>
        <v>180</v>
      </c>
    </row>
    <row r="6" customFormat="false" ht="15" hidden="false" customHeight="false" outlineLevel="0" collapsed="false">
      <c r="A6" s="8" t="s">
        <v>394</v>
      </c>
      <c r="B6" s="6" t="s">
        <v>280</v>
      </c>
      <c r="C6" s="33" t="n">
        <v>2003</v>
      </c>
      <c r="D6" s="33" t="n">
        <v>1003</v>
      </c>
      <c r="E6" s="33" t="n">
        <v>3</v>
      </c>
      <c r="F6" s="17" t="n">
        <v>600</v>
      </c>
      <c r="G6" s="33" t="n">
        <v>3</v>
      </c>
      <c r="H6" s="33" t="n">
        <v>4</v>
      </c>
      <c r="I6" s="33" t="n">
        <v>4</v>
      </c>
      <c r="J6" s="8" t="s">
        <v>392</v>
      </c>
      <c r="K6" s="18" t="n">
        <f aca="false">INDEX(Item!$F$4:$F$44,MATCH(C6,Item!$A$4:$A$44,0))</f>
        <v>20</v>
      </c>
      <c r="L6" s="18" t="n">
        <f aca="false">INDEX(Item!$E$4:$E$44,MATCH(D6,Item!$A$4:$A$44,0))</f>
        <v>12</v>
      </c>
      <c r="M6" s="35" t="n">
        <f aca="false">(G6+H6)/2</f>
        <v>3.5</v>
      </c>
      <c r="N6" s="54" t="n">
        <f aca="false">M6*L6-K6</f>
        <v>22</v>
      </c>
      <c r="O6" s="54" t="n">
        <f aca="false">N6/(F6/3600)</f>
        <v>132</v>
      </c>
    </row>
    <row r="7" customFormat="false" ht="15" hidden="false" customHeight="false" outlineLevel="0" collapsed="false">
      <c r="A7" s="8" t="s">
        <v>395</v>
      </c>
      <c r="B7" s="6" t="s">
        <v>282</v>
      </c>
      <c r="C7" s="33" t="n">
        <v>2004</v>
      </c>
      <c r="D7" s="33" t="n">
        <v>1004</v>
      </c>
      <c r="E7" s="33" t="n">
        <v>5</v>
      </c>
      <c r="F7" s="17" t="n">
        <v>1200</v>
      </c>
      <c r="G7" s="33" t="n">
        <v>3</v>
      </c>
      <c r="H7" s="33" t="n">
        <v>4</v>
      </c>
      <c r="I7" s="33" t="n">
        <v>6</v>
      </c>
      <c r="J7" s="8" t="s">
        <v>392</v>
      </c>
      <c r="K7" s="18" t="n">
        <f aca="false">INDEX(Item!$F$4:$F$44,MATCH(C7,Item!$A$4:$A$44,0))</f>
        <v>30</v>
      </c>
      <c r="L7" s="18" t="n">
        <f aca="false">INDEX(Item!$E$4:$E$44,MATCH(D7,Item!$A$4:$A$44,0))</f>
        <v>18</v>
      </c>
      <c r="M7" s="35" t="n">
        <f aca="false">(G7+H7)/2</f>
        <v>3.5</v>
      </c>
      <c r="N7" s="54" t="n">
        <f aca="false">M7*L7-K7</f>
        <v>33</v>
      </c>
      <c r="O7" s="54" t="n">
        <f aca="false">N7/(F7/3600)</f>
        <v>99</v>
      </c>
    </row>
    <row r="8" customFormat="false" ht="15" hidden="false" customHeight="false" outlineLevel="0" collapsed="false">
      <c r="A8" s="8" t="s">
        <v>396</v>
      </c>
      <c r="B8" s="6" t="s">
        <v>284</v>
      </c>
      <c r="C8" s="33" t="n">
        <v>2005</v>
      </c>
      <c r="D8" s="33" t="n">
        <v>1005</v>
      </c>
      <c r="E8" s="33" t="n">
        <v>7</v>
      </c>
      <c r="F8" s="17" t="n">
        <v>1800</v>
      </c>
      <c r="G8" s="33" t="n">
        <v>3</v>
      </c>
      <c r="H8" s="33" t="n">
        <v>5</v>
      </c>
      <c r="I8" s="33" t="n">
        <v>8</v>
      </c>
      <c r="J8" s="8" t="s">
        <v>392</v>
      </c>
      <c r="K8" s="18" t="n">
        <f aca="false">INDEX(Item!$F$4:$F$44,MATCH(C8,Item!$A$4:$A$44,0))</f>
        <v>40</v>
      </c>
      <c r="L8" s="18" t="n">
        <f aca="false">INDEX(Item!$E$4:$E$44,MATCH(D8,Item!$A$4:$A$44,0))</f>
        <v>20</v>
      </c>
      <c r="M8" s="35" t="n">
        <f aca="false">(G8+H8)/2</f>
        <v>4</v>
      </c>
      <c r="N8" s="54" t="n">
        <f aca="false">M8*L8-K8</f>
        <v>40</v>
      </c>
      <c r="O8" s="54" t="n">
        <f aca="false">N8/(F8/3600)</f>
        <v>80</v>
      </c>
    </row>
    <row r="9" customFormat="false" ht="15" hidden="false" customHeight="false" outlineLevel="0" collapsed="false">
      <c r="A9" s="8" t="s">
        <v>397</v>
      </c>
      <c r="B9" s="6" t="s">
        <v>286</v>
      </c>
      <c r="C9" s="33" t="n">
        <v>2006</v>
      </c>
      <c r="D9" s="33" t="n">
        <v>1006</v>
      </c>
      <c r="E9" s="33" t="n">
        <v>9</v>
      </c>
      <c r="F9" s="17" t="n">
        <v>3600</v>
      </c>
      <c r="G9" s="33" t="n">
        <v>4</v>
      </c>
      <c r="H9" s="33" t="n">
        <v>5</v>
      </c>
      <c r="I9" s="33" t="n">
        <v>12</v>
      </c>
      <c r="J9" s="8" t="s">
        <v>392</v>
      </c>
      <c r="K9" s="18" t="n">
        <f aca="false">INDEX(Item!$F$4:$F$44,MATCH(C9,Item!$A$4:$A$44,0))</f>
        <v>60</v>
      </c>
      <c r="L9" s="18" t="n">
        <f aca="false">INDEX(Item!$E$4:$E$44,MATCH(D9,Item!$A$4:$A$44,0))</f>
        <v>30</v>
      </c>
      <c r="M9" s="35" t="n">
        <f aca="false">(G9+H9)/2</f>
        <v>4.5</v>
      </c>
      <c r="N9" s="54" t="n">
        <f aca="false">M9*L9-K9</f>
        <v>75</v>
      </c>
      <c r="O9" s="54" t="n">
        <f aca="false">N9/(F9/3600)</f>
        <v>75</v>
      </c>
    </row>
    <row r="10" customFormat="false" ht="15" hidden="false" customHeight="false" outlineLevel="0" collapsed="false">
      <c r="A10" s="8" t="s">
        <v>398</v>
      </c>
      <c r="B10" s="6" t="s">
        <v>288</v>
      </c>
      <c r="C10" s="33" t="n">
        <v>2007</v>
      </c>
      <c r="D10" s="33" t="n">
        <v>1007</v>
      </c>
      <c r="E10" s="33" t="n">
        <v>12</v>
      </c>
      <c r="F10" s="17" t="n">
        <v>7200</v>
      </c>
      <c r="G10" s="33" t="n">
        <v>4</v>
      </c>
      <c r="H10" s="33" t="n">
        <v>6</v>
      </c>
      <c r="I10" s="33" t="n">
        <v>18</v>
      </c>
      <c r="J10" s="8" t="s">
        <v>392</v>
      </c>
      <c r="K10" s="18" t="n">
        <f aca="false">INDEX(Item!$F$4:$F$44,MATCH(C10,Item!$A$4:$A$44,0))</f>
        <v>80</v>
      </c>
      <c r="L10" s="18" t="n">
        <f aca="false">INDEX(Item!$E$4:$E$44,MATCH(D10,Item!$A$4:$A$44,0))</f>
        <v>40</v>
      </c>
      <c r="M10" s="35" t="n">
        <f aca="false">(G10+H10)/2</f>
        <v>5</v>
      </c>
      <c r="N10" s="54" t="n">
        <f aca="false">M10*L10-K10</f>
        <v>120</v>
      </c>
      <c r="O10" s="54" t="n">
        <f aca="false">N10/(F10/3600)</f>
        <v>60</v>
      </c>
    </row>
  </sheetData>
  <autoFilter ref="A3:O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8" min="5" style="0" width="10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399</v>
      </c>
      <c r="D1" s="44" t="s">
        <v>268</v>
      </c>
      <c r="E1" s="44" t="s">
        <v>400</v>
      </c>
      <c r="F1" s="44" t="s">
        <v>401</v>
      </c>
      <c r="G1" s="44" t="s">
        <v>368</v>
      </c>
      <c r="H1" s="44" t="s">
        <v>369</v>
      </c>
      <c r="I1" s="44" t="s">
        <v>402</v>
      </c>
      <c r="J1" s="44" t="s">
        <v>403</v>
      </c>
      <c r="K1" s="44" t="s">
        <v>404</v>
      </c>
      <c r="L1" s="44" t="s">
        <v>370</v>
      </c>
      <c r="M1" s="51" t="s">
        <v>374</v>
      </c>
      <c r="N1" s="51" t="s">
        <v>405</v>
      </c>
      <c r="O1" s="51" t="s">
        <v>406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269</v>
      </c>
      <c r="D2" s="45" t="s">
        <v>269</v>
      </c>
      <c r="E2" s="45" t="s">
        <v>269</v>
      </c>
      <c r="F2" s="45" t="s">
        <v>269</v>
      </c>
      <c r="G2" s="45" t="s">
        <v>269</v>
      </c>
      <c r="H2" s="45" t="s">
        <v>269</v>
      </c>
      <c r="I2" s="45" t="s">
        <v>269</v>
      </c>
      <c r="J2" s="45" t="s">
        <v>269</v>
      </c>
      <c r="K2" s="45" t="s">
        <v>407</v>
      </c>
      <c r="L2" s="45" t="s">
        <v>269</v>
      </c>
      <c r="M2" s="52" t="s">
        <v>377</v>
      </c>
      <c r="N2" s="52" t="s">
        <v>377</v>
      </c>
      <c r="O2" s="52" t="s">
        <v>377</v>
      </c>
    </row>
    <row r="3" customFormat="false" ht="27.75" hidden="false" customHeight="true" outlineLevel="0" collapsed="false">
      <c r="A3" s="47" t="s">
        <v>408</v>
      </c>
      <c r="B3" s="47" t="s">
        <v>130</v>
      </c>
      <c r="C3" s="47" t="s">
        <v>409</v>
      </c>
      <c r="D3" s="47" t="s">
        <v>274</v>
      </c>
      <c r="E3" s="47" t="s">
        <v>410</v>
      </c>
      <c r="F3" s="47" t="s">
        <v>411</v>
      </c>
      <c r="G3" s="47" t="s">
        <v>382</v>
      </c>
      <c r="H3" s="47" t="s">
        <v>383</v>
      </c>
      <c r="I3" s="47" t="s">
        <v>412</v>
      </c>
      <c r="J3" s="47" t="s">
        <v>413</v>
      </c>
      <c r="K3" s="47" t="s">
        <v>414</v>
      </c>
      <c r="L3" s="47" t="s">
        <v>415</v>
      </c>
      <c r="M3" s="53" t="s">
        <v>388</v>
      </c>
      <c r="N3" s="53" t="s">
        <v>416</v>
      </c>
      <c r="O3" s="53" t="s">
        <v>417</v>
      </c>
    </row>
    <row r="4" customFormat="false" ht="15" hidden="false" customHeight="false" outlineLevel="0" collapsed="false">
      <c r="A4" s="8" t="s">
        <v>418</v>
      </c>
      <c r="B4" s="6" t="s">
        <v>419</v>
      </c>
      <c r="C4" s="33" t="n">
        <v>5101</v>
      </c>
      <c r="D4" s="33" t="n">
        <v>1</v>
      </c>
      <c r="E4" s="33" t="n">
        <v>4</v>
      </c>
      <c r="F4" s="33" t="n">
        <v>4001</v>
      </c>
      <c r="G4" s="33" t="n">
        <v>2</v>
      </c>
      <c r="H4" s="33" t="n">
        <v>3</v>
      </c>
      <c r="I4" s="17" t="n">
        <v>600</v>
      </c>
      <c r="J4" s="33" t="n">
        <v>4101</v>
      </c>
      <c r="K4" s="12" t="n">
        <v>0.03</v>
      </c>
      <c r="L4" s="33" t="n">
        <v>1</v>
      </c>
      <c r="M4" s="35" t="n">
        <f aca="false">(G4+H4)/2</f>
        <v>2.5</v>
      </c>
      <c r="N4" s="55" t="n">
        <f aca="false">M4*INDEX(Item!$E$4:$E$44,MATCH(F4,Item!$A$4:$A$44,0))+K4*INDEX(Item!$E$4:$E$44,MATCH(J4,Item!$A$4:$A$44,0))</f>
        <v>15.9</v>
      </c>
      <c r="O4" s="54" t="n">
        <f aca="false">N4/(I4/3600)</f>
        <v>95.4</v>
      </c>
    </row>
    <row r="5" customFormat="false" ht="15" hidden="false" customHeight="false" outlineLevel="0" collapsed="false">
      <c r="A5" s="8" t="s">
        <v>420</v>
      </c>
      <c r="B5" s="6" t="s">
        <v>421</v>
      </c>
      <c r="C5" s="33" t="n">
        <v>5103</v>
      </c>
      <c r="D5" s="33" t="n">
        <v>1</v>
      </c>
      <c r="E5" s="33" t="n">
        <v>3</v>
      </c>
      <c r="F5" s="33" t="n">
        <v>4004</v>
      </c>
      <c r="G5" s="33" t="n">
        <v>2</v>
      </c>
      <c r="H5" s="33" t="n">
        <v>4</v>
      </c>
      <c r="I5" s="17" t="n">
        <v>720</v>
      </c>
      <c r="J5" s="33" t="n">
        <v>4104</v>
      </c>
      <c r="K5" s="12" t="n">
        <v>0.03</v>
      </c>
      <c r="L5" s="33" t="n">
        <v>1</v>
      </c>
      <c r="M5" s="35" t="n">
        <f aca="false">(G5+H5)/2</f>
        <v>3</v>
      </c>
      <c r="N5" s="55" t="n">
        <f aca="false">M5*INDEX(Item!$E$4:$E$44,MATCH(F5,Item!$A$4:$A$44,0))+K5*INDEX(Item!$E$4:$E$44,MATCH(J5,Item!$A$4:$A$44,0))</f>
        <v>22.05</v>
      </c>
      <c r="O5" s="54" t="n">
        <f aca="false">N5/(I5/3600)</f>
        <v>110.25</v>
      </c>
    </row>
    <row r="6" customFormat="false" ht="15" hidden="false" customHeight="false" outlineLevel="0" collapsed="false">
      <c r="A6" s="8" t="s">
        <v>422</v>
      </c>
      <c r="B6" s="6" t="s">
        <v>423</v>
      </c>
      <c r="C6" s="33" t="n">
        <v>5102</v>
      </c>
      <c r="D6" s="33" t="n">
        <v>3</v>
      </c>
      <c r="E6" s="33" t="n">
        <v>3</v>
      </c>
      <c r="F6" s="33" t="n">
        <v>4002</v>
      </c>
      <c r="G6" s="33" t="n">
        <v>2</v>
      </c>
      <c r="H6" s="33" t="n">
        <v>3</v>
      </c>
      <c r="I6" s="17" t="n">
        <v>900</v>
      </c>
      <c r="J6" s="33" t="n">
        <v>4102</v>
      </c>
      <c r="K6" s="12" t="n">
        <v>0.03</v>
      </c>
      <c r="L6" s="33" t="n">
        <v>1</v>
      </c>
      <c r="M6" s="35" t="n">
        <f aca="false">(G6+H6)/2</f>
        <v>2.5</v>
      </c>
      <c r="N6" s="55" t="n">
        <f aca="false">M6*INDEX(Item!$E$4:$E$44,MATCH(F6,Item!$A$4:$A$44,0))+K6*INDEX(Item!$E$4:$E$44,MATCH(J6,Item!$A$4:$A$44,0))</f>
        <v>16.5</v>
      </c>
      <c r="O6" s="54" t="n">
        <f aca="false">N6/(I6/3600)</f>
        <v>66</v>
      </c>
    </row>
    <row r="7" customFormat="false" ht="15" hidden="false" customHeight="false" outlineLevel="0" collapsed="false">
      <c r="A7" s="8" t="s">
        <v>424</v>
      </c>
      <c r="B7" s="6" t="s">
        <v>425</v>
      </c>
      <c r="C7" s="33" t="n">
        <v>5103</v>
      </c>
      <c r="D7" s="33" t="n">
        <v>6</v>
      </c>
      <c r="E7" s="33" t="n">
        <v>3</v>
      </c>
      <c r="F7" s="33" t="n">
        <v>4003</v>
      </c>
      <c r="G7" s="33" t="n">
        <v>3</v>
      </c>
      <c r="H7" s="33" t="n">
        <v>4</v>
      </c>
      <c r="I7" s="17" t="n">
        <v>480</v>
      </c>
      <c r="J7" s="33" t="n">
        <v>4103</v>
      </c>
      <c r="K7" s="12" t="n">
        <v>0.03</v>
      </c>
      <c r="L7" s="33" t="n">
        <v>1</v>
      </c>
      <c r="M7" s="35" t="n">
        <f aca="false">(G7+H7)/2</f>
        <v>3.5</v>
      </c>
      <c r="N7" s="55" t="n">
        <f aca="false">M7*INDEX(Item!$E$4:$E$44,MATCH(F7,Item!$A$4:$A$44,0))+K7*INDEX(Item!$E$4:$E$44,MATCH(J7,Item!$A$4:$A$44,0))</f>
        <v>18.7</v>
      </c>
      <c r="O7" s="54" t="n">
        <f aca="false">N7/(I7/3600)</f>
        <v>140.25</v>
      </c>
    </row>
  </sheetData>
  <autoFilter ref="A3:O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44" t="s">
        <v>399</v>
      </c>
      <c r="B1" s="44" t="s">
        <v>426</v>
      </c>
      <c r="C1" s="44" t="s">
        <v>427</v>
      </c>
      <c r="D1" s="44" t="s">
        <v>428</v>
      </c>
      <c r="E1" s="44" t="s">
        <v>429</v>
      </c>
      <c r="F1" s="44" t="s">
        <v>430</v>
      </c>
      <c r="G1" s="44" t="s">
        <v>431</v>
      </c>
      <c r="H1" s="44" t="s">
        <v>432</v>
      </c>
      <c r="I1" s="44" t="s">
        <v>433</v>
      </c>
      <c r="J1" s="44" t="s">
        <v>404</v>
      </c>
      <c r="K1" s="51" t="s">
        <v>434</v>
      </c>
    </row>
    <row r="2" customFormat="false" ht="15" hidden="false" customHeight="false" outlineLevel="0" collapsed="false">
      <c r="A2" s="45" t="s">
        <v>269</v>
      </c>
      <c r="B2" s="45" t="s">
        <v>269</v>
      </c>
      <c r="C2" s="45" t="s">
        <v>269</v>
      </c>
      <c r="D2" s="45" t="s">
        <v>269</v>
      </c>
      <c r="E2" s="45" t="s">
        <v>269</v>
      </c>
      <c r="F2" s="45" t="s">
        <v>269</v>
      </c>
      <c r="G2" s="45" t="s">
        <v>269</v>
      </c>
      <c r="H2" s="45" t="s">
        <v>269</v>
      </c>
      <c r="I2" s="45" t="s">
        <v>269</v>
      </c>
      <c r="J2" s="45" t="s">
        <v>407</v>
      </c>
      <c r="K2" s="52" t="s">
        <v>377</v>
      </c>
    </row>
    <row r="3" customFormat="false" ht="27.75" hidden="false" customHeight="true" outlineLevel="0" collapsed="false">
      <c r="A3" s="47" t="s">
        <v>435</v>
      </c>
      <c r="B3" s="47" t="s">
        <v>436</v>
      </c>
      <c r="C3" s="47" t="s">
        <v>437</v>
      </c>
      <c r="D3" s="47" t="s">
        <v>438</v>
      </c>
      <c r="E3" s="47" t="s">
        <v>439</v>
      </c>
      <c r="F3" s="47" t="s">
        <v>440</v>
      </c>
      <c r="G3" s="47" t="s">
        <v>441</v>
      </c>
      <c r="H3" s="47" t="s">
        <v>442</v>
      </c>
      <c r="I3" s="47" t="s">
        <v>443</v>
      </c>
      <c r="J3" s="47" t="s">
        <v>444</v>
      </c>
      <c r="K3" s="53" t="s">
        <v>445</v>
      </c>
    </row>
    <row r="4" customFormat="false" ht="15" hidden="false" customHeight="false" outlineLevel="0" collapsed="false">
      <c r="A4" s="33" t="n">
        <v>5101</v>
      </c>
      <c r="B4" s="33" t="n">
        <v>1</v>
      </c>
      <c r="C4" s="33" t="n">
        <v>1</v>
      </c>
      <c r="D4" s="17" t="n">
        <v>0</v>
      </c>
      <c r="E4" s="6"/>
      <c r="F4" s="6"/>
      <c r="G4" s="6"/>
      <c r="H4" s="6"/>
      <c r="I4" s="33" t="n">
        <v>0</v>
      </c>
      <c r="J4" s="12" t="n">
        <v>0.03</v>
      </c>
      <c r="K4" s="18" t="n">
        <f aca="false">IF(E4="",0,F4*INDEX(Item!$E$4:$E$44,MATCH(E4,Item!$A$4:$A$44,0)))+IF(G4="",0,H4*INDEX(Item!$E$4:$E$44,MATCH(G4,Item!$A$4:$A$44,0)))</f>
        <v>0</v>
      </c>
    </row>
    <row r="5" customFormat="false" ht="15" hidden="false" customHeight="false" outlineLevel="0" collapsed="false">
      <c r="A5" s="33" t="n">
        <v>5101</v>
      </c>
      <c r="B5" s="33" t="n">
        <v>2</v>
      </c>
      <c r="C5" s="33" t="n">
        <v>5</v>
      </c>
      <c r="D5" s="17" t="n">
        <v>300</v>
      </c>
      <c r="E5" s="33" t="n">
        <v>3009</v>
      </c>
      <c r="F5" s="33" t="n">
        <v>5</v>
      </c>
      <c r="G5" s="6"/>
      <c r="H5" s="6"/>
      <c r="I5" s="33" t="n">
        <v>1</v>
      </c>
      <c r="J5" s="12" t="n">
        <v>0.06</v>
      </c>
      <c r="K5" s="18" t="n">
        <f aca="false">IF(E5="",0,F5*INDEX(Item!$E$4:$E$44,MATCH(E5,Item!$A$4:$A$44,0)))+IF(G5="",0,H5*INDEX(Item!$E$4:$E$44,MATCH(G5,Item!$A$4:$A$44,0)))</f>
        <v>175</v>
      </c>
    </row>
    <row r="6" customFormat="false" ht="15" hidden="false" customHeight="false" outlineLevel="0" collapsed="false">
      <c r="A6" s="33" t="n">
        <v>5101</v>
      </c>
      <c r="B6" s="33" t="n">
        <v>3</v>
      </c>
      <c r="C6" s="33" t="n">
        <v>10</v>
      </c>
      <c r="D6" s="17" t="n">
        <v>1200</v>
      </c>
      <c r="E6" s="33" t="n">
        <v>3009</v>
      </c>
      <c r="F6" s="33" t="n">
        <v>10</v>
      </c>
      <c r="G6" s="33" t="n">
        <v>3010</v>
      </c>
      <c r="H6" s="33" t="n">
        <v>10</v>
      </c>
      <c r="I6" s="33" t="n">
        <v>2</v>
      </c>
      <c r="J6" s="12" t="n">
        <v>0.1</v>
      </c>
      <c r="K6" s="18" t="n">
        <f aca="false">IF(E6="",0,F6*INDEX(Item!$E$4:$E$44,MATCH(E6,Item!$A$4:$A$44,0)))+IF(G6="",0,H6*INDEX(Item!$E$4:$E$44,MATCH(G6,Item!$A$4:$A$44,0)))</f>
        <v>700</v>
      </c>
    </row>
    <row r="7" customFormat="false" ht="15" hidden="false" customHeight="false" outlineLevel="0" collapsed="false">
      <c r="A7" s="33" t="n">
        <v>5102</v>
      </c>
      <c r="B7" s="33" t="n">
        <v>1</v>
      </c>
      <c r="C7" s="33" t="n">
        <v>1</v>
      </c>
      <c r="D7" s="17" t="n">
        <v>0</v>
      </c>
      <c r="E7" s="6"/>
      <c r="F7" s="6"/>
      <c r="G7" s="6"/>
      <c r="H7" s="6"/>
      <c r="I7" s="33" t="n">
        <v>0</v>
      </c>
      <c r="J7" s="12" t="n">
        <v>0.03</v>
      </c>
      <c r="K7" s="18" t="n">
        <f aca="false">IF(E7="",0,F7*INDEX(Item!$E$4:$E$44,MATCH(E7,Item!$A$4:$A$44,0)))+IF(G7="",0,H7*INDEX(Item!$E$4:$E$44,MATCH(G7,Item!$A$4:$A$44,0)))</f>
        <v>0</v>
      </c>
    </row>
    <row r="8" customFormat="false" ht="15" hidden="false" customHeight="false" outlineLevel="0" collapsed="false">
      <c r="A8" s="33" t="n">
        <v>5102</v>
      </c>
      <c r="B8" s="33" t="n">
        <v>2</v>
      </c>
      <c r="C8" s="33" t="n">
        <v>5</v>
      </c>
      <c r="D8" s="17" t="n">
        <v>300</v>
      </c>
      <c r="E8" s="33" t="n">
        <v>3009</v>
      </c>
      <c r="F8" s="33" t="n">
        <v>5</v>
      </c>
      <c r="G8" s="6"/>
      <c r="H8" s="6"/>
      <c r="I8" s="33" t="n">
        <v>1</v>
      </c>
      <c r="J8" s="12" t="n">
        <v>0.06</v>
      </c>
      <c r="K8" s="18" t="n">
        <f aca="false">IF(E8="",0,F8*INDEX(Item!$E$4:$E$44,MATCH(E8,Item!$A$4:$A$44,0)))+IF(G8="",0,H8*INDEX(Item!$E$4:$E$44,MATCH(G8,Item!$A$4:$A$44,0)))</f>
        <v>175</v>
      </c>
    </row>
    <row r="9" customFormat="false" ht="15" hidden="false" customHeight="false" outlineLevel="0" collapsed="false">
      <c r="A9" s="33" t="n">
        <v>5102</v>
      </c>
      <c r="B9" s="33" t="n">
        <v>3</v>
      </c>
      <c r="C9" s="33" t="n">
        <v>10</v>
      </c>
      <c r="D9" s="17" t="n">
        <v>1200</v>
      </c>
      <c r="E9" s="33" t="n">
        <v>3009</v>
      </c>
      <c r="F9" s="33" t="n">
        <v>10</v>
      </c>
      <c r="G9" s="33" t="n">
        <v>3010</v>
      </c>
      <c r="H9" s="33" t="n">
        <v>10</v>
      </c>
      <c r="I9" s="33" t="n">
        <v>2</v>
      </c>
      <c r="J9" s="12" t="n">
        <v>0.1</v>
      </c>
      <c r="K9" s="18" t="n">
        <f aca="false">IF(E9="",0,F9*INDEX(Item!$E$4:$E$44,MATCH(E9,Item!$A$4:$A$44,0)))+IF(G9="",0,H9*INDEX(Item!$E$4:$E$44,MATCH(G9,Item!$A$4:$A$44,0)))</f>
        <v>700</v>
      </c>
    </row>
    <row r="10" customFormat="false" ht="15" hidden="false" customHeight="false" outlineLevel="0" collapsed="false">
      <c r="A10" s="33" t="n">
        <v>5103</v>
      </c>
      <c r="B10" s="33" t="n">
        <v>1</v>
      </c>
      <c r="C10" s="33" t="n">
        <v>1</v>
      </c>
      <c r="D10" s="17" t="n">
        <v>0</v>
      </c>
      <c r="E10" s="6"/>
      <c r="F10" s="6"/>
      <c r="G10" s="6"/>
      <c r="H10" s="6"/>
      <c r="I10" s="33" t="n">
        <v>0</v>
      </c>
      <c r="J10" s="12" t="n">
        <v>0.03</v>
      </c>
      <c r="K10" s="18" t="n">
        <f aca="false">IF(E10="",0,F10*INDEX(Item!$E$4:$E$44,MATCH(E10,Item!$A$4:$A$44,0)))+IF(G10="",0,H10*INDEX(Item!$E$4:$E$44,MATCH(G10,Item!$A$4:$A$44,0)))</f>
        <v>0</v>
      </c>
    </row>
    <row r="11" customFormat="false" ht="15" hidden="false" customHeight="false" outlineLevel="0" collapsed="false">
      <c r="A11" s="33" t="n">
        <v>5103</v>
      </c>
      <c r="B11" s="33" t="n">
        <v>2</v>
      </c>
      <c r="C11" s="33" t="n">
        <v>5</v>
      </c>
      <c r="D11" s="17" t="n">
        <v>300</v>
      </c>
      <c r="E11" s="33" t="n">
        <v>3009</v>
      </c>
      <c r="F11" s="33" t="n">
        <v>5</v>
      </c>
      <c r="G11" s="6"/>
      <c r="H11" s="6"/>
      <c r="I11" s="33" t="n">
        <v>1</v>
      </c>
      <c r="J11" s="12" t="n">
        <v>0.06</v>
      </c>
      <c r="K11" s="18" t="n">
        <f aca="false">IF(E11="",0,F11*INDEX(Item!$E$4:$E$44,MATCH(E11,Item!$A$4:$A$44,0)))+IF(G11="",0,H11*INDEX(Item!$E$4:$E$44,MATCH(G11,Item!$A$4:$A$44,0)))</f>
        <v>175</v>
      </c>
    </row>
    <row r="12" customFormat="false" ht="15" hidden="false" customHeight="false" outlineLevel="0" collapsed="false">
      <c r="A12" s="33" t="n">
        <v>5103</v>
      </c>
      <c r="B12" s="33" t="n">
        <v>3</v>
      </c>
      <c r="C12" s="33" t="n">
        <v>10</v>
      </c>
      <c r="D12" s="17" t="n">
        <v>1200</v>
      </c>
      <c r="E12" s="33" t="n">
        <v>3009</v>
      </c>
      <c r="F12" s="33" t="n">
        <v>10</v>
      </c>
      <c r="G12" s="33" t="n">
        <v>3010</v>
      </c>
      <c r="H12" s="33" t="n">
        <v>10</v>
      </c>
      <c r="I12" s="33" t="n">
        <v>2</v>
      </c>
      <c r="J12" s="12" t="n">
        <v>0.1</v>
      </c>
      <c r="K12" s="18" t="n">
        <f aca="false">IF(E12="",0,F12*INDEX(Item!$E$4:$E$44,MATCH(E12,Item!$A$4:$A$44,0)))+IF(G12="",0,H12*INDEX(Item!$E$4:$E$44,MATCH(G12,Item!$A$4:$A$44,0)))</f>
        <v>700</v>
      </c>
    </row>
  </sheetData>
  <autoFilter ref="A3:K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29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268</v>
      </c>
      <c r="D1" s="44" t="s">
        <v>446</v>
      </c>
      <c r="E1" s="44" t="s">
        <v>447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269</v>
      </c>
      <c r="D2" s="45" t="s">
        <v>269</v>
      </c>
      <c r="E2" s="45" t="s">
        <v>216</v>
      </c>
    </row>
    <row r="3" customFormat="false" ht="27.75" hidden="false" customHeight="true" outlineLevel="0" collapsed="false">
      <c r="A3" s="47" t="s">
        <v>448</v>
      </c>
      <c r="B3" s="47" t="s">
        <v>130</v>
      </c>
      <c r="C3" s="47" t="s">
        <v>274</v>
      </c>
      <c r="D3" s="47" t="s">
        <v>449</v>
      </c>
      <c r="E3" s="47" t="s">
        <v>450</v>
      </c>
    </row>
    <row r="4" customFormat="false" ht="15" hidden="false" customHeight="false" outlineLevel="0" collapsed="false">
      <c r="A4" s="8" t="s">
        <v>168</v>
      </c>
      <c r="B4" s="6" t="s">
        <v>451</v>
      </c>
      <c r="C4" s="33" t="n">
        <v>2</v>
      </c>
      <c r="D4" s="17" t="n">
        <v>200</v>
      </c>
      <c r="E4" s="6" t="s">
        <v>305</v>
      </c>
    </row>
    <row r="5" customFormat="false" ht="15" hidden="false" customHeight="false" outlineLevel="0" collapsed="false">
      <c r="A5" s="8" t="s">
        <v>170</v>
      </c>
      <c r="B5" s="6" t="s">
        <v>452</v>
      </c>
      <c r="C5" s="33" t="n">
        <v>3</v>
      </c>
      <c r="D5" s="17" t="n">
        <v>400</v>
      </c>
      <c r="E5" s="6" t="s">
        <v>453</v>
      </c>
    </row>
    <row r="6" customFormat="false" ht="15" hidden="false" customHeight="false" outlineLevel="0" collapsed="false">
      <c r="A6" s="8" t="s">
        <v>172</v>
      </c>
      <c r="B6" s="6" t="s">
        <v>454</v>
      </c>
      <c r="C6" s="33" t="n">
        <v>4</v>
      </c>
      <c r="D6" s="17" t="n">
        <v>800</v>
      </c>
      <c r="E6" s="6" t="s">
        <v>455</v>
      </c>
    </row>
    <row r="7" customFormat="false" ht="15" hidden="false" customHeight="false" outlineLevel="0" collapsed="false">
      <c r="A7" s="8" t="s">
        <v>174</v>
      </c>
      <c r="B7" s="6" t="s">
        <v>456</v>
      </c>
      <c r="C7" s="33" t="n">
        <v>4</v>
      </c>
      <c r="D7" s="17" t="n">
        <v>800</v>
      </c>
      <c r="E7" s="6" t="s">
        <v>457</v>
      </c>
    </row>
  </sheetData>
  <autoFilter ref="A3:E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L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6"/>
  </cols>
  <sheetData>
    <row r="1" customFormat="false" ht="15" hidden="false" customHeight="false" outlineLevel="0" collapsed="false">
      <c r="A1" s="44" t="s">
        <v>426</v>
      </c>
      <c r="B1" s="44" t="s">
        <v>427</v>
      </c>
      <c r="C1" s="44" t="s">
        <v>458</v>
      </c>
      <c r="D1" s="44" t="s">
        <v>459</v>
      </c>
      <c r="E1" s="44" t="s">
        <v>428</v>
      </c>
      <c r="F1" s="44" t="s">
        <v>429</v>
      </c>
      <c r="G1" s="44" t="s">
        <v>430</v>
      </c>
      <c r="H1" s="44" t="s">
        <v>431</v>
      </c>
      <c r="I1" s="44" t="s">
        <v>432</v>
      </c>
      <c r="J1" s="44" t="s">
        <v>460</v>
      </c>
      <c r="K1" s="44" t="s">
        <v>461</v>
      </c>
      <c r="L1" s="51" t="s">
        <v>434</v>
      </c>
    </row>
    <row r="2" customFormat="false" ht="15" hidden="false" customHeight="false" outlineLevel="0" collapsed="false">
      <c r="A2" s="45" t="s">
        <v>269</v>
      </c>
      <c r="B2" s="45" t="s">
        <v>269</v>
      </c>
      <c r="C2" s="45" t="s">
        <v>269</v>
      </c>
      <c r="D2" s="45" t="s">
        <v>407</v>
      </c>
      <c r="E2" s="45" t="s">
        <v>269</v>
      </c>
      <c r="F2" s="45" t="s">
        <v>269</v>
      </c>
      <c r="G2" s="45" t="s">
        <v>269</v>
      </c>
      <c r="H2" s="45" t="s">
        <v>269</v>
      </c>
      <c r="I2" s="45" t="s">
        <v>269</v>
      </c>
      <c r="J2" s="45" t="s">
        <v>269</v>
      </c>
      <c r="K2" s="45" t="s">
        <v>269</v>
      </c>
      <c r="L2" s="52" t="s">
        <v>377</v>
      </c>
    </row>
    <row r="3" customFormat="false" ht="27.75" hidden="false" customHeight="true" outlineLevel="0" collapsed="false">
      <c r="A3" s="47" t="s">
        <v>462</v>
      </c>
      <c r="B3" s="47" t="s">
        <v>437</v>
      </c>
      <c r="C3" s="47" t="s">
        <v>463</v>
      </c>
      <c r="D3" s="47" t="s">
        <v>464</v>
      </c>
      <c r="E3" s="47" t="s">
        <v>438</v>
      </c>
      <c r="F3" s="47" t="s">
        <v>439</v>
      </c>
      <c r="G3" s="47" t="s">
        <v>440</v>
      </c>
      <c r="H3" s="47" t="s">
        <v>441</v>
      </c>
      <c r="I3" s="47" t="s">
        <v>442</v>
      </c>
      <c r="J3" s="47" t="s">
        <v>465</v>
      </c>
      <c r="K3" s="47" t="s">
        <v>466</v>
      </c>
      <c r="L3" s="53" t="s">
        <v>445</v>
      </c>
    </row>
    <row r="4" customFormat="false" ht="15" hidden="false" customHeight="false" outlineLevel="0" collapsed="false">
      <c r="A4" s="33" t="n">
        <v>1</v>
      </c>
      <c r="B4" s="33" t="n">
        <v>1</v>
      </c>
      <c r="C4" s="33" t="n">
        <v>2</v>
      </c>
      <c r="D4" s="19" t="n">
        <v>1</v>
      </c>
      <c r="E4" s="17" t="n">
        <v>0</v>
      </c>
      <c r="F4" s="6"/>
      <c r="G4" s="6"/>
      <c r="H4" s="6"/>
      <c r="I4" s="6"/>
      <c r="J4" s="6"/>
      <c r="K4" s="6"/>
      <c r="L4" s="18" t="n">
        <f aca="false">IF(F4="",0,G4*INDEX(Item!$E$4:$E$44,MATCH(F4,Item!$A$4:$A$44,0)))+IF(H4="",0,I4*INDEX(Item!$E$4:$E$44,MATCH(H4,Item!$A$4:$A$44,0)))+IF(J4="",0,K4*INDEX(Item!$E$4:$E$44,MATCH(J4,Item!$A$4:$A$44,0)))</f>
        <v>0</v>
      </c>
    </row>
    <row r="5" customFormat="false" ht="15" hidden="false" customHeight="false" outlineLevel="0" collapsed="false">
      <c r="A5" s="33" t="n">
        <v>2</v>
      </c>
      <c r="B5" s="33" t="n">
        <v>8</v>
      </c>
      <c r="C5" s="33" t="n">
        <v>3</v>
      </c>
      <c r="D5" s="19" t="n">
        <v>0.9</v>
      </c>
      <c r="E5" s="17" t="n">
        <v>1500</v>
      </c>
      <c r="F5" s="33" t="n">
        <v>3009</v>
      </c>
      <c r="G5" s="33" t="n">
        <v>10</v>
      </c>
      <c r="H5" s="33" t="n">
        <v>3010</v>
      </c>
      <c r="I5" s="33" t="n">
        <v>10</v>
      </c>
      <c r="J5" s="6"/>
      <c r="K5" s="6"/>
      <c r="L5" s="18" t="n">
        <f aca="false">IF(F5="",0,G5*INDEX(Item!$E$4:$E$44,MATCH(F5,Item!$A$4:$A$44,0)))+IF(H5="",0,I5*INDEX(Item!$E$4:$E$44,MATCH(H5,Item!$A$4:$A$44,0)))+IF(J5="",0,K5*INDEX(Item!$E$4:$E$44,MATCH(J5,Item!$A$4:$A$44,0)))</f>
        <v>700</v>
      </c>
    </row>
    <row r="6" customFormat="false" ht="15" hidden="false" customHeight="false" outlineLevel="0" collapsed="false">
      <c r="A6" s="33" t="n">
        <v>3</v>
      </c>
      <c r="B6" s="33" t="n">
        <v>15</v>
      </c>
      <c r="C6" s="33" t="n">
        <v>4</v>
      </c>
      <c r="D6" s="19" t="n">
        <v>0.8</v>
      </c>
      <c r="E6" s="17" t="n">
        <v>6000</v>
      </c>
      <c r="F6" s="33" t="n">
        <v>3009</v>
      </c>
      <c r="G6" s="33" t="n">
        <v>30</v>
      </c>
      <c r="H6" s="33" t="n">
        <v>3010</v>
      </c>
      <c r="I6" s="33" t="n">
        <v>30</v>
      </c>
      <c r="J6" s="33" t="n">
        <v>4102</v>
      </c>
      <c r="K6" s="33" t="n">
        <v>3</v>
      </c>
      <c r="L6" s="18" t="n">
        <f aca="false">IF(F6="",0,G6*INDEX(Item!$E$4:$E$44,MATCH(F6,Item!$A$4:$A$44,0)))+IF(H6="",0,I6*INDEX(Item!$E$4:$E$44,MATCH(H6,Item!$A$4:$A$44,0)))+IF(J6="",0,K6*INDEX(Item!$E$4:$E$44,MATCH(J6,Item!$A$4:$A$44,0)))</f>
        <v>2250</v>
      </c>
    </row>
  </sheetData>
  <autoFilter ref="A3:L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16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467</v>
      </c>
      <c r="D1" s="44" t="s">
        <v>268</v>
      </c>
      <c r="E1" s="44" t="s">
        <v>468</v>
      </c>
      <c r="F1" s="44" t="s">
        <v>469</v>
      </c>
      <c r="G1" s="44" t="s">
        <v>470</v>
      </c>
      <c r="H1" s="44" t="s">
        <v>471</v>
      </c>
      <c r="I1" s="44" t="s">
        <v>472</v>
      </c>
      <c r="J1" s="44" t="s">
        <v>473</v>
      </c>
      <c r="K1" s="44" t="s">
        <v>474</v>
      </c>
      <c r="L1" s="44" t="s">
        <v>370</v>
      </c>
      <c r="M1" s="51" t="s">
        <v>475</v>
      </c>
      <c r="N1" s="51" t="s">
        <v>476</v>
      </c>
      <c r="O1" s="51" t="s">
        <v>477</v>
      </c>
      <c r="P1" s="51" t="s">
        <v>478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  <c r="D2" s="45" t="s">
        <v>269</v>
      </c>
      <c r="E2" s="45" t="s">
        <v>269</v>
      </c>
      <c r="F2" s="45" t="s">
        <v>269</v>
      </c>
      <c r="G2" s="45" t="s">
        <v>269</v>
      </c>
      <c r="H2" s="45" t="s">
        <v>269</v>
      </c>
      <c r="I2" s="45" t="s">
        <v>269</v>
      </c>
      <c r="J2" s="45" t="s">
        <v>269</v>
      </c>
      <c r="K2" s="45" t="s">
        <v>269</v>
      </c>
      <c r="L2" s="45" t="s">
        <v>269</v>
      </c>
      <c r="M2" s="52" t="s">
        <v>377</v>
      </c>
      <c r="N2" s="52" t="s">
        <v>377</v>
      </c>
      <c r="O2" s="52" t="s">
        <v>377</v>
      </c>
      <c r="P2" s="52" t="s">
        <v>377</v>
      </c>
    </row>
    <row r="3" customFormat="false" ht="27.75" hidden="false" customHeight="true" outlineLevel="0" collapsed="false">
      <c r="A3" s="47" t="s">
        <v>479</v>
      </c>
      <c r="B3" s="47" t="s">
        <v>480</v>
      </c>
      <c r="C3" s="47" t="s">
        <v>481</v>
      </c>
      <c r="D3" s="47" t="s">
        <v>274</v>
      </c>
      <c r="E3" s="47" t="s">
        <v>439</v>
      </c>
      <c r="F3" s="47" t="s">
        <v>440</v>
      </c>
      <c r="G3" s="47" t="s">
        <v>441</v>
      </c>
      <c r="H3" s="47" t="s">
        <v>442</v>
      </c>
      <c r="I3" s="47" t="s">
        <v>482</v>
      </c>
      <c r="J3" s="47" t="s">
        <v>483</v>
      </c>
      <c r="K3" s="47" t="s">
        <v>484</v>
      </c>
      <c r="L3" s="47" t="s">
        <v>485</v>
      </c>
      <c r="M3" s="53" t="s">
        <v>445</v>
      </c>
      <c r="N3" s="53" t="s">
        <v>486</v>
      </c>
      <c r="O3" s="53" t="s">
        <v>487</v>
      </c>
      <c r="P3" s="53" t="s">
        <v>488</v>
      </c>
    </row>
    <row r="4" customFormat="false" ht="15" hidden="false" customHeight="false" outlineLevel="0" collapsed="false">
      <c r="A4" s="8" t="s">
        <v>307</v>
      </c>
      <c r="B4" s="6" t="s">
        <v>305</v>
      </c>
      <c r="C4" s="8" t="s">
        <v>168</v>
      </c>
      <c r="D4" s="33" t="n">
        <v>2</v>
      </c>
      <c r="E4" s="33" t="n">
        <v>1001</v>
      </c>
      <c r="F4" s="33" t="n">
        <v>3</v>
      </c>
      <c r="G4" s="6"/>
      <c r="H4" s="6"/>
      <c r="I4" s="33" t="n">
        <v>3001</v>
      </c>
      <c r="J4" s="33" t="n">
        <v>1</v>
      </c>
      <c r="K4" s="17" t="n">
        <v>60</v>
      </c>
      <c r="L4" s="33" t="n">
        <v>1</v>
      </c>
      <c r="M4" s="18" t="n">
        <f aca="false">F4*INDEX(Item!$E$4:$E$44,MATCH(E4,Item!$A$4:$A$44,0))+IF(G4="",0,H4*INDEX(Item!$E$4:$E$44,MATCH(G4,Item!$A$4:$A$44,0)))</f>
        <v>24</v>
      </c>
      <c r="N4" s="18" t="n">
        <f aca="false">J4*INDEX(Item!$E$4:$E$44,MATCH(I4,Item!$A$4:$A$44,0))</f>
        <v>32</v>
      </c>
      <c r="O4" s="56" t="n">
        <f aca="false">N4/M4</f>
        <v>1.33333333333333</v>
      </c>
      <c r="P4" s="54" t="n">
        <f aca="false">(N4-M4)/(K4/60)</f>
        <v>8</v>
      </c>
    </row>
    <row r="5" customFormat="false" ht="15" hidden="false" customHeight="false" outlineLevel="0" collapsed="false">
      <c r="A5" s="8" t="s">
        <v>323</v>
      </c>
      <c r="B5" s="6" t="s">
        <v>322</v>
      </c>
      <c r="C5" s="8" t="s">
        <v>170</v>
      </c>
      <c r="D5" s="33" t="n">
        <v>3</v>
      </c>
      <c r="E5" s="33" t="n">
        <v>4001</v>
      </c>
      <c r="F5" s="33" t="n">
        <v>3</v>
      </c>
      <c r="G5" s="6"/>
      <c r="H5" s="6"/>
      <c r="I5" s="33" t="n">
        <v>3009</v>
      </c>
      <c r="J5" s="33" t="n">
        <v>1</v>
      </c>
      <c r="K5" s="17" t="n">
        <v>90</v>
      </c>
      <c r="L5" s="33" t="n">
        <v>2</v>
      </c>
      <c r="M5" s="18" t="n">
        <f aca="false">F5*INDEX(Item!$E$4:$E$44,MATCH(E5,Item!$A$4:$A$44,0))+IF(G5="",0,H5*INDEX(Item!$E$4:$E$44,MATCH(G5,Item!$A$4:$A$44,0)))</f>
        <v>18</v>
      </c>
      <c r="N5" s="18" t="n">
        <f aca="false">J5*INDEX(Item!$E$4:$E$44,MATCH(I5,Item!$A$4:$A$44,0))</f>
        <v>35</v>
      </c>
      <c r="O5" s="56" t="n">
        <f aca="false">N5/M5</f>
        <v>1.94444444444444</v>
      </c>
      <c r="P5" s="54" t="n">
        <f aca="false">(N5-M5)/(K5/60)</f>
        <v>11.3333333333333</v>
      </c>
    </row>
    <row r="6" customFormat="false" ht="15" hidden="false" customHeight="false" outlineLevel="0" collapsed="false">
      <c r="A6" s="8" t="s">
        <v>325</v>
      </c>
      <c r="B6" s="6" t="s">
        <v>324</v>
      </c>
      <c r="C6" s="8" t="s">
        <v>170</v>
      </c>
      <c r="D6" s="33" t="n">
        <v>3</v>
      </c>
      <c r="E6" s="33" t="n">
        <v>4002</v>
      </c>
      <c r="F6" s="33" t="n">
        <v>3</v>
      </c>
      <c r="G6" s="6"/>
      <c r="H6" s="6"/>
      <c r="I6" s="33" t="n">
        <v>3010</v>
      </c>
      <c r="J6" s="33" t="n">
        <v>1</v>
      </c>
      <c r="K6" s="17" t="n">
        <v>90</v>
      </c>
      <c r="L6" s="33" t="n">
        <v>2</v>
      </c>
      <c r="M6" s="18" t="n">
        <f aca="false">F6*INDEX(Item!$E$4:$E$44,MATCH(E6,Item!$A$4:$A$44,0))+IF(G6="",0,H6*INDEX(Item!$E$4:$E$44,MATCH(G6,Item!$A$4:$A$44,0)))</f>
        <v>18</v>
      </c>
      <c r="N6" s="18" t="n">
        <f aca="false">J6*INDEX(Item!$E$4:$E$44,MATCH(I6,Item!$A$4:$A$44,0))</f>
        <v>35</v>
      </c>
      <c r="O6" s="56" t="n">
        <f aca="false">N6/M6</f>
        <v>1.94444444444444</v>
      </c>
      <c r="P6" s="54" t="n">
        <f aca="false">(N6-M6)/(K6/60)</f>
        <v>11.3333333333333</v>
      </c>
    </row>
    <row r="7" customFormat="false" ht="15" hidden="false" customHeight="false" outlineLevel="0" collapsed="false">
      <c r="A7" s="8" t="s">
        <v>309</v>
      </c>
      <c r="B7" s="6" t="s">
        <v>308</v>
      </c>
      <c r="C7" s="8" t="s">
        <v>172</v>
      </c>
      <c r="D7" s="33" t="n">
        <v>4</v>
      </c>
      <c r="E7" s="33" t="n">
        <v>3001</v>
      </c>
      <c r="F7" s="33" t="n">
        <v>2</v>
      </c>
      <c r="G7" s="6"/>
      <c r="H7" s="6"/>
      <c r="I7" s="33" t="n">
        <v>3002</v>
      </c>
      <c r="J7" s="33" t="n">
        <v>1</v>
      </c>
      <c r="K7" s="17" t="n">
        <v>120</v>
      </c>
      <c r="L7" s="33" t="n">
        <v>3</v>
      </c>
      <c r="M7" s="18" t="n">
        <f aca="false">F7*INDEX(Item!$E$4:$E$44,MATCH(E7,Item!$A$4:$A$44,0))+IF(G7="",0,H7*INDEX(Item!$E$4:$E$44,MATCH(G7,Item!$A$4:$A$44,0)))</f>
        <v>64</v>
      </c>
      <c r="N7" s="18" t="n">
        <f aca="false">J7*INDEX(Item!$E$4:$E$44,MATCH(I7,Item!$A$4:$A$44,0))</f>
        <v>90</v>
      </c>
      <c r="O7" s="56" t="n">
        <f aca="false">N7/M7</f>
        <v>1.40625</v>
      </c>
      <c r="P7" s="54" t="n">
        <f aca="false">(N7-M7)/(K7/60)</f>
        <v>13</v>
      </c>
    </row>
    <row r="8" customFormat="false" ht="15" hidden="false" customHeight="false" outlineLevel="0" collapsed="false">
      <c r="A8" s="8" t="s">
        <v>311</v>
      </c>
      <c r="B8" s="6" t="s">
        <v>310</v>
      </c>
      <c r="C8" s="8" t="s">
        <v>174</v>
      </c>
      <c r="D8" s="33" t="n">
        <v>4</v>
      </c>
      <c r="E8" s="33" t="n">
        <v>1002</v>
      </c>
      <c r="F8" s="33" t="n">
        <v>2</v>
      </c>
      <c r="G8" s="33" t="n">
        <v>1003</v>
      </c>
      <c r="H8" s="33" t="n">
        <v>2</v>
      </c>
      <c r="I8" s="33" t="n">
        <v>3003</v>
      </c>
      <c r="J8" s="33" t="n">
        <v>1</v>
      </c>
      <c r="K8" s="17" t="n">
        <v>180</v>
      </c>
      <c r="L8" s="33" t="n">
        <v>4</v>
      </c>
      <c r="M8" s="18" t="n">
        <f aca="false">F8*INDEX(Item!$E$4:$E$44,MATCH(E8,Item!$A$4:$A$44,0))+IF(G8="",0,H8*INDEX(Item!$E$4:$E$44,MATCH(G8,Item!$A$4:$A$44,0)))</f>
        <v>48</v>
      </c>
      <c r="N8" s="18" t="n">
        <f aca="false">J8*INDEX(Item!$E$4:$E$44,MATCH(I8,Item!$A$4:$A$44,0))</f>
        <v>80</v>
      </c>
      <c r="O8" s="56" t="n">
        <f aca="false">N8/M8</f>
        <v>1.66666666666667</v>
      </c>
      <c r="P8" s="54" t="n">
        <f aca="false">(N8-M8)/(K8/60)</f>
        <v>10.6666666666667</v>
      </c>
    </row>
    <row r="9" customFormat="false" ht="15" hidden="false" customHeight="false" outlineLevel="0" collapsed="false">
      <c r="A9" s="8" t="s">
        <v>315</v>
      </c>
      <c r="B9" s="6" t="s">
        <v>314</v>
      </c>
      <c r="C9" s="8" t="s">
        <v>174</v>
      </c>
      <c r="D9" s="33" t="n">
        <v>4</v>
      </c>
      <c r="E9" s="33" t="n">
        <v>4004</v>
      </c>
      <c r="F9" s="33" t="n">
        <v>3</v>
      </c>
      <c r="G9" s="6"/>
      <c r="H9" s="6"/>
      <c r="I9" s="33" t="n">
        <v>3005</v>
      </c>
      <c r="J9" s="33" t="n">
        <v>1</v>
      </c>
      <c r="K9" s="17" t="n">
        <v>150</v>
      </c>
      <c r="L9" s="33" t="n">
        <v>3</v>
      </c>
      <c r="M9" s="18" t="n">
        <f aca="false">F9*INDEX(Item!$E$4:$E$44,MATCH(E9,Item!$A$4:$A$44,0))+IF(G9="",0,H9*INDEX(Item!$E$4:$E$44,MATCH(G9,Item!$A$4:$A$44,0)))</f>
        <v>21</v>
      </c>
      <c r="N9" s="18" t="n">
        <f aca="false">J9*INDEX(Item!$E$4:$E$44,MATCH(I9,Item!$A$4:$A$44,0))</f>
        <v>45</v>
      </c>
      <c r="O9" s="56" t="n">
        <f aca="false">N9/M9</f>
        <v>2.14285714285714</v>
      </c>
      <c r="P9" s="54" t="n">
        <f aca="false">(N9-M9)/(K9/60)</f>
        <v>9.6</v>
      </c>
    </row>
    <row r="10" customFormat="false" ht="15" hidden="false" customHeight="false" outlineLevel="0" collapsed="false">
      <c r="A10" s="8" t="s">
        <v>313</v>
      </c>
      <c r="B10" s="6" t="s">
        <v>312</v>
      </c>
      <c r="C10" s="8" t="s">
        <v>174</v>
      </c>
      <c r="D10" s="33" t="n">
        <v>5</v>
      </c>
      <c r="E10" s="33" t="n">
        <v>1004</v>
      </c>
      <c r="F10" s="33" t="n">
        <v>3</v>
      </c>
      <c r="G10" s="6"/>
      <c r="H10" s="6"/>
      <c r="I10" s="33" t="n">
        <v>3004</v>
      </c>
      <c r="J10" s="33" t="n">
        <v>1</v>
      </c>
      <c r="K10" s="17" t="n">
        <v>180</v>
      </c>
      <c r="L10" s="33" t="n">
        <v>5</v>
      </c>
      <c r="M10" s="18" t="n">
        <f aca="false">F10*INDEX(Item!$E$4:$E$44,MATCH(E10,Item!$A$4:$A$44,0))+IF(G10="",0,H10*INDEX(Item!$E$4:$E$44,MATCH(G10,Item!$A$4:$A$44,0)))</f>
        <v>54</v>
      </c>
      <c r="N10" s="18" t="n">
        <f aca="false">J10*INDEX(Item!$E$4:$E$44,MATCH(I10,Item!$A$4:$A$44,0))</f>
        <v>85</v>
      </c>
      <c r="O10" s="56" t="n">
        <f aca="false">N10/M10</f>
        <v>1.57407407407407</v>
      </c>
      <c r="P10" s="54" t="n">
        <f aca="false">(N10-M10)/(K10/60)</f>
        <v>10.3333333333333</v>
      </c>
    </row>
    <row r="11" customFormat="false" ht="15" hidden="false" customHeight="false" outlineLevel="0" collapsed="false">
      <c r="A11" s="8" t="s">
        <v>327</v>
      </c>
      <c r="B11" s="6" t="s">
        <v>326</v>
      </c>
      <c r="C11" s="8" t="s">
        <v>170</v>
      </c>
      <c r="D11" s="33" t="n">
        <v>6</v>
      </c>
      <c r="E11" s="33" t="n">
        <v>4003</v>
      </c>
      <c r="F11" s="33" t="n">
        <v>4</v>
      </c>
      <c r="G11" s="6"/>
      <c r="H11" s="6"/>
      <c r="I11" s="33" t="n">
        <v>3011</v>
      </c>
      <c r="J11" s="33" t="n">
        <v>1</v>
      </c>
      <c r="K11" s="17" t="n">
        <v>120</v>
      </c>
      <c r="L11" s="33" t="n">
        <v>3</v>
      </c>
      <c r="M11" s="18" t="n">
        <f aca="false">F11*INDEX(Item!$E$4:$E$44,MATCH(E11,Item!$A$4:$A$44,0))+IF(G11="",0,H11*INDEX(Item!$E$4:$E$44,MATCH(G11,Item!$A$4:$A$44,0)))</f>
        <v>20</v>
      </c>
      <c r="N11" s="18" t="n">
        <f aca="false">J11*INDEX(Item!$E$4:$E$44,MATCH(I11,Item!$A$4:$A$44,0))</f>
        <v>45</v>
      </c>
      <c r="O11" s="56" t="n">
        <f aca="false">N11/M11</f>
        <v>2.25</v>
      </c>
      <c r="P11" s="54" t="n">
        <f aca="false">(N11-M11)/(K11/60)</f>
        <v>12.5</v>
      </c>
    </row>
    <row r="12" customFormat="false" ht="15" hidden="false" customHeight="false" outlineLevel="0" collapsed="false">
      <c r="A12" s="8" t="s">
        <v>317</v>
      </c>
      <c r="B12" s="6" t="s">
        <v>316</v>
      </c>
      <c r="C12" s="8" t="s">
        <v>172</v>
      </c>
      <c r="D12" s="33" t="n">
        <v>7</v>
      </c>
      <c r="E12" s="33" t="n">
        <v>1005</v>
      </c>
      <c r="F12" s="33" t="n">
        <v>2</v>
      </c>
      <c r="G12" s="33" t="n">
        <v>3001</v>
      </c>
      <c r="H12" s="33" t="n">
        <v>1</v>
      </c>
      <c r="I12" s="33" t="n">
        <v>3006</v>
      </c>
      <c r="J12" s="33" t="n">
        <v>1</v>
      </c>
      <c r="K12" s="17" t="n">
        <v>300</v>
      </c>
      <c r="L12" s="33" t="n">
        <v>8</v>
      </c>
      <c r="M12" s="18" t="n">
        <f aca="false">F12*INDEX(Item!$E$4:$E$44,MATCH(E12,Item!$A$4:$A$44,0))+IF(G12="",0,H12*INDEX(Item!$E$4:$E$44,MATCH(G12,Item!$A$4:$A$44,0)))</f>
        <v>72</v>
      </c>
      <c r="N12" s="18" t="n">
        <f aca="false">J12*INDEX(Item!$E$4:$E$44,MATCH(I12,Item!$A$4:$A$44,0))</f>
        <v>130</v>
      </c>
      <c r="O12" s="56" t="n">
        <f aca="false">N12/M12</f>
        <v>1.80555555555556</v>
      </c>
      <c r="P12" s="54" t="n">
        <f aca="false">(N12-M12)/(K12/60)</f>
        <v>11.6</v>
      </c>
    </row>
    <row r="13" customFormat="false" ht="15" hidden="false" customHeight="false" outlineLevel="0" collapsed="false">
      <c r="A13" s="8" t="s">
        <v>319</v>
      </c>
      <c r="B13" s="6" t="s">
        <v>318</v>
      </c>
      <c r="C13" s="8" t="s">
        <v>172</v>
      </c>
      <c r="D13" s="33" t="n">
        <v>9</v>
      </c>
      <c r="E13" s="33" t="n">
        <v>3001</v>
      </c>
      <c r="F13" s="33" t="n">
        <v>2</v>
      </c>
      <c r="G13" s="33" t="n">
        <v>1006</v>
      </c>
      <c r="H13" s="33" t="n">
        <v>3</v>
      </c>
      <c r="I13" s="33" t="n">
        <v>3007</v>
      </c>
      <c r="J13" s="33" t="n">
        <v>1</v>
      </c>
      <c r="K13" s="17" t="n">
        <v>600</v>
      </c>
      <c r="L13" s="33" t="n">
        <v>15</v>
      </c>
      <c r="M13" s="18" t="n">
        <f aca="false">F13*INDEX(Item!$E$4:$E$44,MATCH(E13,Item!$A$4:$A$44,0))+IF(G13="",0,H13*INDEX(Item!$E$4:$E$44,MATCH(G13,Item!$A$4:$A$44,0)))</f>
        <v>154</v>
      </c>
      <c r="N13" s="18" t="n">
        <f aca="false">J13*INDEX(Item!$E$4:$E$44,MATCH(I13,Item!$A$4:$A$44,0))</f>
        <v>260</v>
      </c>
      <c r="O13" s="56" t="n">
        <f aca="false">N13/M13</f>
        <v>1.68831168831169</v>
      </c>
      <c r="P13" s="54" t="n">
        <f aca="false">(N13-M13)/(K13/60)</f>
        <v>10.6</v>
      </c>
    </row>
    <row r="14" customFormat="false" ht="15" hidden="false" customHeight="false" outlineLevel="0" collapsed="false">
      <c r="A14" s="8" t="s">
        <v>321</v>
      </c>
      <c r="B14" s="6" t="s">
        <v>320</v>
      </c>
      <c r="C14" s="8" t="s">
        <v>172</v>
      </c>
      <c r="D14" s="33" t="n">
        <v>12</v>
      </c>
      <c r="E14" s="33" t="n">
        <v>1007</v>
      </c>
      <c r="F14" s="33" t="n">
        <v>1</v>
      </c>
      <c r="G14" s="33" t="n">
        <v>3001</v>
      </c>
      <c r="H14" s="33" t="n">
        <v>2</v>
      </c>
      <c r="I14" s="33" t="n">
        <v>3008</v>
      </c>
      <c r="J14" s="33" t="n">
        <v>1</v>
      </c>
      <c r="K14" s="17" t="n">
        <v>900</v>
      </c>
      <c r="L14" s="33" t="n">
        <v>22</v>
      </c>
      <c r="M14" s="18" t="n">
        <f aca="false">F14*INDEX(Item!$E$4:$E$44,MATCH(E14,Item!$A$4:$A$44,0))+IF(G14="",0,H14*INDEX(Item!$E$4:$E$44,MATCH(G14,Item!$A$4:$A$44,0)))</f>
        <v>104</v>
      </c>
      <c r="N14" s="18" t="n">
        <f aca="false">J14*INDEX(Item!$E$4:$E$44,MATCH(I14,Item!$A$4:$A$44,0))</f>
        <v>190</v>
      </c>
      <c r="O14" s="56" t="n">
        <f aca="false">N14/M14</f>
        <v>1.82692307692308</v>
      </c>
      <c r="P14" s="54" t="n">
        <f aca="false">(N14-M14)/(K14/60)</f>
        <v>5.73333333333333</v>
      </c>
    </row>
  </sheetData>
  <autoFilter ref="A3:P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6" style="0" width="40"/>
    <col collapsed="false" customWidth="true" hidden="false" outlineLevel="0" max="7" min="7" style="0" width="8"/>
    <col collapsed="false" customWidth="true" hidden="false" outlineLevel="0" max="8" min="8" style="0" width="36"/>
  </cols>
  <sheetData>
    <row r="1" customFormat="false" ht="15" hidden="false" customHeight="false" outlineLevel="0" collapsed="false">
      <c r="A1" s="44" t="s">
        <v>426</v>
      </c>
      <c r="B1" s="44" t="s">
        <v>489</v>
      </c>
      <c r="C1" s="51" t="s">
        <v>490</v>
      </c>
    </row>
    <row r="2" customFormat="false" ht="15" hidden="false" customHeight="false" outlineLevel="0" collapsed="false">
      <c r="A2" s="45" t="s">
        <v>269</v>
      </c>
      <c r="B2" s="45" t="s">
        <v>269</v>
      </c>
      <c r="C2" s="52" t="s">
        <v>377</v>
      </c>
    </row>
    <row r="3" customFormat="false" ht="27.75" hidden="false" customHeight="true" outlineLevel="0" collapsed="false">
      <c r="A3" s="47" t="s">
        <v>491</v>
      </c>
      <c r="B3" s="47" t="s">
        <v>492</v>
      </c>
      <c r="C3" s="53" t="s">
        <v>493</v>
      </c>
      <c r="F3" s="4" t="s">
        <v>494</v>
      </c>
      <c r="G3" s="4" t="s">
        <v>118</v>
      </c>
      <c r="H3" s="4" t="s">
        <v>218</v>
      </c>
    </row>
    <row r="4" customFormat="false" ht="15" hidden="false" customHeight="false" outlineLevel="0" collapsed="false">
      <c r="A4" s="33" t="n">
        <v>1</v>
      </c>
      <c r="B4" s="57" t="n">
        <f aca="false">$G$4+$G$5*(A4-1)+$G$6*(A4-1)^2</f>
        <v>20</v>
      </c>
      <c r="C4" s="58" t="n">
        <f aca="false">SUM($B$4:B4)</f>
        <v>20</v>
      </c>
      <c r="F4" s="32" t="s">
        <v>495</v>
      </c>
      <c r="G4" s="59" t="n">
        <v>20</v>
      </c>
      <c r="H4" s="8" t="s">
        <v>496</v>
      </c>
    </row>
    <row r="5" customFormat="false" ht="15" hidden="false" customHeight="false" outlineLevel="0" collapsed="false">
      <c r="A5" s="33" t="n">
        <v>2</v>
      </c>
      <c r="B5" s="57" t="n">
        <f aca="false">$G$4+$G$5*(A5-1)+$G$6*(A5-1)^2</f>
        <v>35</v>
      </c>
      <c r="C5" s="58" t="n">
        <f aca="false">SUM($B$4:B5)</f>
        <v>55</v>
      </c>
      <c r="F5" s="32" t="s">
        <v>497</v>
      </c>
      <c r="G5" s="59" t="n">
        <v>12</v>
      </c>
      <c r="H5" s="6" t="s">
        <v>498</v>
      </c>
    </row>
    <row r="6" customFormat="false" ht="15" hidden="false" customHeight="false" outlineLevel="0" collapsed="false">
      <c r="A6" s="33" t="n">
        <v>3</v>
      </c>
      <c r="B6" s="57" t="n">
        <f aca="false">$G$4+$G$5*(A6-1)+$G$6*(A6-1)^2</f>
        <v>56</v>
      </c>
      <c r="C6" s="58" t="n">
        <f aca="false">SUM($B$4:B6)</f>
        <v>111</v>
      </c>
      <c r="F6" s="32" t="s">
        <v>499</v>
      </c>
      <c r="G6" s="59" t="n">
        <v>3</v>
      </c>
      <c r="H6" s="6" t="s">
        <v>500</v>
      </c>
    </row>
    <row r="7" customFormat="false" ht="15" hidden="false" customHeight="false" outlineLevel="0" collapsed="false">
      <c r="A7" s="33" t="n">
        <v>4</v>
      </c>
      <c r="B7" s="57" t="n">
        <f aca="false">$G$4+$G$5*(A7-1)+$G$6*(A7-1)^2</f>
        <v>83</v>
      </c>
      <c r="C7" s="58" t="n">
        <f aca="false">SUM($B$4:B7)</f>
        <v>194</v>
      </c>
      <c r="F7" s="32" t="s">
        <v>501</v>
      </c>
      <c r="G7" s="59" t="n">
        <v>20</v>
      </c>
      <c r="H7" s="6" t="s">
        <v>502</v>
      </c>
    </row>
    <row r="8" customFormat="false" ht="15" hidden="false" customHeight="false" outlineLevel="0" collapsed="false">
      <c r="A8" s="33" t="n">
        <v>5</v>
      </c>
      <c r="B8" s="57" t="n">
        <f aca="false">$G$4+$G$5*(A8-1)+$G$6*(A8-1)^2</f>
        <v>116</v>
      </c>
      <c r="C8" s="58" t="n">
        <f aca="false">SUM($B$4:B8)</f>
        <v>310</v>
      </c>
    </row>
    <row r="9" customFormat="false" ht="15" hidden="false" customHeight="false" outlineLevel="0" collapsed="false">
      <c r="A9" s="33" t="n">
        <v>6</v>
      </c>
      <c r="B9" s="57" t="n">
        <f aca="false">$G$4+$G$5*(A9-1)+$G$6*(A9-1)^2</f>
        <v>155</v>
      </c>
      <c r="C9" s="58" t="n">
        <f aca="false">SUM($B$4:B9)</f>
        <v>465</v>
      </c>
      <c r="F9" s="2" t="s">
        <v>503</v>
      </c>
    </row>
    <row r="10" customFormat="false" ht="15" hidden="false" customHeight="false" outlineLevel="0" collapsed="false">
      <c r="A10" s="33" t="n">
        <v>7</v>
      </c>
      <c r="B10" s="57" t="n">
        <f aca="false">$G$4+$G$5*(A10-1)+$G$6*(A10-1)^2</f>
        <v>200</v>
      </c>
      <c r="C10" s="58" t="n">
        <f aca="false">SUM($B$4:B10)</f>
        <v>665</v>
      </c>
    </row>
    <row r="11" customFormat="false" ht="15" hidden="false" customHeight="false" outlineLevel="0" collapsed="false">
      <c r="A11" s="33" t="n">
        <v>8</v>
      </c>
      <c r="B11" s="57" t="n">
        <f aca="false">$G$4+$G$5*(A11-1)+$G$6*(A11-1)^2</f>
        <v>251</v>
      </c>
      <c r="C11" s="58" t="n">
        <f aca="false">SUM($B$4:B11)</f>
        <v>916</v>
      </c>
    </row>
    <row r="12" customFormat="false" ht="15" hidden="false" customHeight="false" outlineLevel="0" collapsed="false">
      <c r="A12" s="33" t="n">
        <v>9</v>
      </c>
      <c r="B12" s="57" t="n">
        <f aca="false">$G$4+$G$5*(A12-1)+$G$6*(A12-1)^2</f>
        <v>308</v>
      </c>
      <c r="C12" s="58" t="n">
        <f aca="false">SUM($B$4:B12)</f>
        <v>1224</v>
      </c>
    </row>
    <row r="13" customFormat="false" ht="15" hidden="false" customHeight="false" outlineLevel="0" collapsed="false">
      <c r="A13" s="33" t="n">
        <v>10</v>
      </c>
      <c r="B13" s="57" t="n">
        <f aca="false">$G$4+$G$5*(A13-1)+$G$6*(A13-1)^2</f>
        <v>371</v>
      </c>
      <c r="C13" s="58" t="n">
        <f aca="false">SUM($B$4:B13)</f>
        <v>1595</v>
      </c>
    </row>
    <row r="14" customFormat="false" ht="15" hidden="false" customHeight="false" outlineLevel="0" collapsed="false">
      <c r="A14" s="33" t="n">
        <v>11</v>
      </c>
      <c r="B14" s="57" t="n">
        <f aca="false">$G$4+$G$5*(A14-1)+$G$6*(A14-1)^2</f>
        <v>440</v>
      </c>
      <c r="C14" s="58" t="n">
        <f aca="false">SUM($B$4:B14)</f>
        <v>2035</v>
      </c>
    </row>
    <row r="15" customFormat="false" ht="15" hidden="false" customHeight="false" outlineLevel="0" collapsed="false">
      <c r="A15" s="33" t="n">
        <v>12</v>
      </c>
      <c r="B15" s="57" t="n">
        <f aca="false">$G$4+$G$5*(A15-1)+$G$6*(A15-1)^2</f>
        <v>515</v>
      </c>
      <c r="C15" s="58" t="n">
        <f aca="false">SUM($B$4:B15)</f>
        <v>2550</v>
      </c>
    </row>
    <row r="16" customFormat="false" ht="15" hidden="false" customHeight="false" outlineLevel="0" collapsed="false">
      <c r="A16" s="33" t="n">
        <v>13</v>
      </c>
      <c r="B16" s="57" t="n">
        <f aca="false">$G$4+$G$5*(A16-1)+$G$6*(A16-1)^2</f>
        <v>596</v>
      </c>
      <c r="C16" s="58" t="n">
        <f aca="false">SUM($B$4:B16)</f>
        <v>3146</v>
      </c>
    </row>
    <row r="17" customFormat="false" ht="15" hidden="false" customHeight="false" outlineLevel="0" collapsed="false">
      <c r="A17" s="33" t="n">
        <v>14</v>
      </c>
      <c r="B17" s="57" t="n">
        <f aca="false">$G$4+$G$5*(A17-1)+$G$6*(A17-1)^2</f>
        <v>683</v>
      </c>
      <c r="C17" s="58" t="n">
        <f aca="false">SUM($B$4:B17)</f>
        <v>3829</v>
      </c>
    </row>
    <row r="18" customFormat="false" ht="15" hidden="false" customHeight="false" outlineLevel="0" collapsed="false">
      <c r="A18" s="33" t="n">
        <v>15</v>
      </c>
      <c r="B18" s="57" t="n">
        <f aca="false">$G$4+$G$5*(A18-1)+$G$6*(A18-1)^2</f>
        <v>776</v>
      </c>
      <c r="C18" s="58" t="n">
        <f aca="false">SUM($B$4:B18)</f>
        <v>4605</v>
      </c>
    </row>
    <row r="19" customFormat="false" ht="15" hidden="false" customHeight="false" outlineLevel="0" collapsed="false">
      <c r="A19" s="33" t="n">
        <v>16</v>
      </c>
      <c r="B19" s="57" t="n">
        <f aca="false">$G$4+$G$5*(A19-1)+$G$6*(A19-1)^2</f>
        <v>875</v>
      </c>
      <c r="C19" s="58" t="n">
        <f aca="false">SUM($B$4:B19)</f>
        <v>5480</v>
      </c>
    </row>
    <row r="20" customFormat="false" ht="15" hidden="false" customHeight="false" outlineLevel="0" collapsed="false">
      <c r="A20" s="33" t="n">
        <v>17</v>
      </c>
      <c r="B20" s="57" t="n">
        <f aca="false">$G$4+$G$5*(A20-1)+$G$6*(A20-1)^2</f>
        <v>980</v>
      </c>
      <c r="C20" s="58" t="n">
        <f aca="false">SUM($B$4:B20)</f>
        <v>6460</v>
      </c>
    </row>
    <row r="21" customFormat="false" ht="15" hidden="false" customHeight="false" outlineLevel="0" collapsed="false">
      <c r="A21" s="33" t="n">
        <v>18</v>
      </c>
      <c r="B21" s="57" t="n">
        <f aca="false">$G$4+$G$5*(A21-1)+$G$6*(A21-1)^2</f>
        <v>1091</v>
      </c>
      <c r="C21" s="58" t="n">
        <f aca="false">SUM($B$4:B21)</f>
        <v>7551</v>
      </c>
    </row>
    <row r="22" customFormat="false" ht="15" hidden="false" customHeight="false" outlineLevel="0" collapsed="false">
      <c r="A22" s="33" t="n">
        <v>19</v>
      </c>
      <c r="B22" s="57" t="n">
        <f aca="false">$G$4+$G$5*(A22-1)+$G$6*(A22-1)^2</f>
        <v>1208</v>
      </c>
      <c r="C22" s="58" t="n">
        <f aca="false">SUM($B$4:B22)</f>
        <v>8759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44" t="s">
        <v>504</v>
      </c>
      <c r="B1" s="44" t="s">
        <v>427</v>
      </c>
      <c r="C1" s="44" t="s">
        <v>505</v>
      </c>
      <c r="D1" s="44" t="s">
        <v>506</v>
      </c>
      <c r="E1" s="51" t="s">
        <v>507</v>
      </c>
      <c r="F1" s="51" t="s">
        <v>508</v>
      </c>
    </row>
    <row r="2" customFormat="false" ht="15" hidden="false" customHeight="false" outlineLevel="0" collapsed="false">
      <c r="A2" s="45" t="s">
        <v>269</v>
      </c>
      <c r="B2" s="45" t="s">
        <v>269</v>
      </c>
      <c r="C2" s="45" t="s">
        <v>269</v>
      </c>
      <c r="D2" s="45" t="s">
        <v>269</v>
      </c>
      <c r="E2" s="52" t="s">
        <v>377</v>
      </c>
      <c r="F2" s="52" t="s">
        <v>377</v>
      </c>
    </row>
    <row r="3" customFormat="false" ht="27.75" hidden="false" customHeight="true" outlineLevel="0" collapsed="false">
      <c r="A3" s="47" t="s">
        <v>509</v>
      </c>
      <c r="B3" s="47" t="s">
        <v>510</v>
      </c>
      <c r="C3" s="47" t="s">
        <v>511</v>
      </c>
      <c r="D3" s="47" t="s">
        <v>512</v>
      </c>
      <c r="E3" s="53" t="s">
        <v>513</v>
      </c>
      <c r="F3" s="53" t="s">
        <v>514</v>
      </c>
    </row>
    <row r="4" customFormat="false" ht="15" hidden="false" customHeight="false" outlineLevel="0" collapsed="false">
      <c r="A4" s="33" t="n">
        <v>0</v>
      </c>
      <c r="B4" s="33" t="n">
        <v>1</v>
      </c>
      <c r="C4" s="33" t="n">
        <v>6</v>
      </c>
      <c r="D4" s="17" t="n">
        <v>0</v>
      </c>
      <c r="E4" s="60" t="n">
        <f aca="false">C4</f>
        <v>6</v>
      </c>
      <c r="F4" s="58" t="n">
        <f aca="false">SUM($D$4:D4)</f>
        <v>0</v>
      </c>
    </row>
    <row r="5" customFormat="false" ht="15" hidden="false" customHeight="false" outlineLevel="0" collapsed="false">
      <c r="A5" s="33" t="n">
        <v>1</v>
      </c>
      <c r="B5" s="33" t="n">
        <v>3</v>
      </c>
      <c r="C5" s="33" t="n">
        <v>9</v>
      </c>
      <c r="D5" s="17" t="n">
        <v>300</v>
      </c>
      <c r="E5" s="60" t="n">
        <f aca="false">C5-C4</f>
        <v>3</v>
      </c>
      <c r="F5" s="58" t="n">
        <f aca="false">SUM($D$4:D5)</f>
        <v>300</v>
      </c>
    </row>
    <row r="6" customFormat="false" ht="15" hidden="false" customHeight="false" outlineLevel="0" collapsed="false">
      <c r="A6" s="33" t="n">
        <v>2</v>
      </c>
      <c r="B6" s="33" t="n">
        <v>5</v>
      </c>
      <c r="C6" s="33" t="n">
        <v>12</v>
      </c>
      <c r="D6" s="17" t="n">
        <v>800</v>
      </c>
      <c r="E6" s="60" t="n">
        <f aca="false">C6-C5</f>
        <v>3</v>
      </c>
      <c r="F6" s="58" t="n">
        <f aca="false">SUM($D$4:D6)</f>
        <v>1100</v>
      </c>
    </row>
    <row r="7" customFormat="false" ht="15" hidden="false" customHeight="false" outlineLevel="0" collapsed="false">
      <c r="A7" s="33" t="n">
        <v>3</v>
      </c>
      <c r="B7" s="33" t="n">
        <v>8</v>
      </c>
      <c r="C7" s="33" t="n">
        <v>16</v>
      </c>
      <c r="D7" s="17" t="n">
        <v>2000</v>
      </c>
      <c r="E7" s="60" t="n">
        <f aca="false">C7-C6</f>
        <v>4</v>
      </c>
      <c r="F7" s="58" t="n">
        <f aca="false">SUM($D$4:D7)</f>
        <v>3100</v>
      </c>
    </row>
    <row r="8" customFormat="false" ht="15" hidden="false" customHeight="false" outlineLevel="0" collapsed="false">
      <c r="A8" s="33" t="n">
        <v>4</v>
      </c>
      <c r="B8" s="33" t="n">
        <v>12</v>
      </c>
      <c r="C8" s="33" t="n">
        <v>20</v>
      </c>
      <c r="D8" s="17" t="n">
        <v>5000</v>
      </c>
      <c r="E8" s="60" t="n">
        <f aca="false">C8-C7</f>
        <v>4</v>
      </c>
      <c r="F8" s="58" t="n">
        <f aca="false">SUM($D$4:D8)</f>
        <v>8100</v>
      </c>
    </row>
    <row r="9" customFormat="false" ht="15" hidden="false" customHeight="false" outlineLevel="0" collapsed="false">
      <c r="A9" s="33" t="n">
        <v>5</v>
      </c>
      <c r="B9" s="33" t="n">
        <v>16</v>
      </c>
      <c r="C9" s="33" t="n">
        <v>24</v>
      </c>
      <c r="D9" s="17" t="n">
        <v>12000</v>
      </c>
      <c r="E9" s="60" t="n">
        <f aca="false">C9-C8</f>
        <v>4</v>
      </c>
      <c r="F9" s="58" t="n">
        <f aca="false">SUM($D$4:D9)</f>
        <v>20100</v>
      </c>
    </row>
  </sheetData>
  <autoFilter ref="A3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4" t="s">
        <v>213</v>
      </c>
      <c r="B1" s="44" t="s">
        <v>214</v>
      </c>
      <c r="C1" s="44" t="s">
        <v>215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</row>
    <row r="3" customFormat="false" ht="27.75" hidden="false" customHeight="true" outlineLevel="0" collapsed="false">
      <c r="A3" s="46" t="s">
        <v>217</v>
      </c>
      <c r="B3" s="47" t="s">
        <v>118</v>
      </c>
      <c r="C3" s="47" t="s">
        <v>218</v>
      </c>
    </row>
    <row r="4" customFormat="false" ht="15" hidden="false" customHeight="false" outlineLevel="0" collapsed="false">
      <c r="A4" s="8" t="s">
        <v>515</v>
      </c>
      <c r="B4" s="61" t="n">
        <v>1.3</v>
      </c>
      <c r="C4" s="6" t="s">
        <v>516</v>
      </c>
    </row>
    <row r="5" customFormat="false" ht="15" hidden="false" customHeight="false" outlineLevel="0" collapsed="false">
      <c r="A5" s="8" t="s">
        <v>517</v>
      </c>
      <c r="B5" s="61" t="n">
        <v>1.4</v>
      </c>
      <c r="C5" s="6" t="s">
        <v>518</v>
      </c>
    </row>
    <row r="6" customFormat="false" ht="15" hidden="false" customHeight="false" outlineLevel="0" collapsed="false">
      <c r="A6" s="8" t="s">
        <v>519</v>
      </c>
      <c r="B6" s="61" t="n">
        <v>1.6</v>
      </c>
      <c r="C6" s="6" t="s">
        <v>520</v>
      </c>
    </row>
    <row r="7" customFormat="false" ht="15" hidden="false" customHeight="false" outlineLevel="0" collapsed="false">
      <c r="A7" s="8" t="s">
        <v>521</v>
      </c>
      <c r="B7" s="62" t="n">
        <v>0.25</v>
      </c>
      <c r="C7" s="6" t="s">
        <v>522</v>
      </c>
    </row>
    <row r="8" customFormat="false" ht="15" hidden="false" customHeight="false" outlineLevel="0" collapsed="false">
      <c r="A8" s="8" t="s">
        <v>523</v>
      </c>
      <c r="B8" s="48" t="n">
        <v>5</v>
      </c>
      <c r="C8" s="6" t="s">
        <v>524</v>
      </c>
    </row>
    <row r="9" customFormat="false" ht="15" hidden="false" customHeight="false" outlineLevel="0" collapsed="false">
      <c r="A9" s="8" t="s">
        <v>525</v>
      </c>
      <c r="B9" s="50" t="n">
        <v>0.1</v>
      </c>
      <c r="C9" s="6" t="s">
        <v>526</v>
      </c>
    </row>
    <row r="10" customFormat="false" ht="15" hidden="false" customHeight="false" outlineLevel="0" collapsed="false">
      <c r="A10" s="8" t="s">
        <v>527</v>
      </c>
      <c r="B10" s="61" t="n">
        <v>1.5</v>
      </c>
      <c r="C10" s="6" t="s">
        <v>528</v>
      </c>
    </row>
    <row r="11" customFormat="false" ht="15" hidden="false" customHeight="false" outlineLevel="0" collapsed="false">
      <c r="A11" s="8" t="s">
        <v>529</v>
      </c>
      <c r="B11" s="48" t="n">
        <v>6</v>
      </c>
      <c r="C11" s="6" t="s">
        <v>530</v>
      </c>
    </row>
    <row r="12" customFormat="false" ht="15" hidden="false" customHeight="false" outlineLevel="0" collapsed="false">
      <c r="A12" s="8" t="s">
        <v>531</v>
      </c>
      <c r="B12" s="49" t="s">
        <v>532</v>
      </c>
      <c r="C12" s="6" t="s">
        <v>533</v>
      </c>
    </row>
    <row r="13" customFormat="false" ht="15" hidden="false" customHeight="false" outlineLevel="0" collapsed="false">
      <c r="A13" s="8" t="s">
        <v>534</v>
      </c>
      <c r="B13" s="63" t="s">
        <v>535</v>
      </c>
      <c r="C13" s="8" t="s">
        <v>536</v>
      </c>
    </row>
    <row r="14" customFormat="false" ht="15" hidden="false" customHeight="false" outlineLevel="0" collapsed="false">
      <c r="A14" s="8" t="s">
        <v>537</v>
      </c>
      <c r="B14" s="63" t="s">
        <v>538</v>
      </c>
      <c r="C14" s="8" t="s">
        <v>539</v>
      </c>
    </row>
    <row r="15" customFormat="false" ht="15" hidden="false" customHeight="false" outlineLevel="0" collapsed="false">
      <c r="A15" s="8" t="s">
        <v>540</v>
      </c>
      <c r="B15" s="49" t="s">
        <v>541</v>
      </c>
      <c r="C15" s="6" t="s">
        <v>542</v>
      </c>
    </row>
    <row r="16" customFormat="false" ht="15" hidden="false" customHeight="false" outlineLevel="0" collapsed="false">
      <c r="A16" s="8" t="s">
        <v>543</v>
      </c>
      <c r="B16" s="49" t="s">
        <v>544</v>
      </c>
      <c r="C16" s="6" t="s">
        <v>545</v>
      </c>
    </row>
    <row r="17" customFormat="false" ht="15" hidden="false" customHeight="false" outlineLevel="0" collapsed="false">
      <c r="A17" s="8" t="s">
        <v>546</v>
      </c>
      <c r="B17" s="48" t="n">
        <v>2</v>
      </c>
      <c r="C17" s="6" t="s">
        <v>547</v>
      </c>
    </row>
  </sheetData>
  <autoFilter ref="A3:C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2" min="10" style="0" width="12"/>
    <col collapsed="false" customWidth="true" hidden="false" outlineLevel="0" max="13" min="13" style="0" width="14"/>
  </cols>
  <sheetData>
    <row r="1" customFormat="false" ht="21.6" hidden="false" customHeight="false" outlineLevel="0" collapsed="false">
      <c r="A1" s="1" t="s">
        <v>548</v>
      </c>
    </row>
    <row r="2" customFormat="false" ht="15" hidden="false" customHeight="false" outlineLevel="0" collapsed="false">
      <c r="A2" s="2" t="s">
        <v>549</v>
      </c>
    </row>
    <row r="4" customFormat="false" ht="15" hidden="false" customHeight="false" outlineLevel="0" collapsed="false">
      <c r="A4" s="4" t="s">
        <v>550</v>
      </c>
      <c r="B4" s="44" t="s">
        <v>551</v>
      </c>
      <c r="C4" s="44" t="s">
        <v>552</v>
      </c>
      <c r="D4" s="44" t="s">
        <v>553</v>
      </c>
      <c r="E4" s="44" t="s">
        <v>554</v>
      </c>
      <c r="F4" s="44" t="s">
        <v>555</v>
      </c>
      <c r="G4" s="44" t="s">
        <v>556</v>
      </c>
      <c r="H4" s="4" t="s">
        <v>557</v>
      </c>
      <c r="I4" s="51" t="s">
        <v>558</v>
      </c>
      <c r="J4" s="28" t="s">
        <v>559</v>
      </c>
      <c r="K4" s="28" t="s">
        <v>560</v>
      </c>
      <c r="L4" s="28" t="s">
        <v>561</v>
      </c>
      <c r="M4" s="28" t="s">
        <v>562</v>
      </c>
    </row>
    <row r="5" customFormat="false" ht="15" hidden="false" customHeight="false" outlineLevel="0" collapsed="false">
      <c r="A5" s="6" t="s">
        <v>563</v>
      </c>
      <c r="B5" s="59" t="n">
        <v>1001</v>
      </c>
      <c r="C5" s="59" t="n">
        <v>6</v>
      </c>
      <c r="D5" s="41"/>
      <c r="E5" s="41"/>
      <c r="F5" s="41"/>
      <c r="G5" s="41"/>
      <c r="H5" s="59" t="n">
        <v>1</v>
      </c>
      <c r="I5" s="18" t="n">
        <f aca="false">IF(H5="","",IF(B5="",0,C5*INDEX(Item!$E$4:$E$44,MATCH(B5,Item!$A$4:$A$44,0)))+IF(D5="",0,E5*INDEX(Item!$E$4:$E$44,MATCH(D5,Item!$A$4:$A$44,0)))+IF(F5="",0,G5*INDEX(Item!$E$4:$E$44,MATCH(F5,Item!$A$4:$A$44,0))))</f>
        <v>48</v>
      </c>
      <c r="J5" s="24" t="n">
        <f aca="false">IF(H5="","",CHOOSE(H5,OrderRule!$B$4,OrderRule!$B$5,OrderRule!$B$6))</f>
        <v>1.3</v>
      </c>
      <c r="K5" s="58" t="n">
        <f aca="false">IF(H5="","",ROUND(I5*J5,0))</f>
        <v>62</v>
      </c>
      <c r="L5" s="18" t="n">
        <f aca="false">IF(H5="","",MAX(OrderRule!$B$8,ROUND(I5*OrderRule!$B$7,0)))</f>
        <v>12</v>
      </c>
      <c r="M5" s="18" t="n">
        <f aca="false">IF(H5="","",ROUND(K5*OrderRule!$B$10,0))</f>
        <v>93</v>
      </c>
    </row>
    <row r="6" customFormat="false" ht="15" hidden="false" customHeight="false" outlineLevel="0" collapsed="false">
      <c r="A6" s="6" t="s">
        <v>564</v>
      </c>
      <c r="B6" s="59" t="n">
        <v>3002</v>
      </c>
      <c r="C6" s="59" t="n">
        <v>2</v>
      </c>
      <c r="D6" s="41"/>
      <c r="E6" s="41"/>
      <c r="F6" s="41"/>
      <c r="G6" s="41"/>
      <c r="H6" s="59" t="n">
        <v>2</v>
      </c>
      <c r="I6" s="18" t="n">
        <f aca="false">IF(H6="","",IF(B6="",0,C6*INDEX(Item!$E$4:$E$44,MATCH(B6,Item!$A$4:$A$44,0)))+IF(D6="",0,E6*INDEX(Item!$E$4:$E$44,MATCH(D6,Item!$A$4:$A$44,0)))+IF(F6="",0,G6*INDEX(Item!$E$4:$E$44,MATCH(F6,Item!$A$4:$A$44,0))))</f>
        <v>180</v>
      </c>
      <c r="J6" s="24" t="n">
        <f aca="false">IF(H6="","",CHOOSE(H6,OrderRule!$B$4,OrderRule!$B$5,OrderRule!$B$6))</f>
        <v>1.4</v>
      </c>
      <c r="K6" s="58" t="n">
        <f aca="false">IF(H6="","",ROUND(I6*J6,0))</f>
        <v>252</v>
      </c>
      <c r="L6" s="18" t="n">
        <f aca="false">IF(H6="","",MAX(OrderRule!$B$8,ROUND(I6*OrderRule!$B$7,0)))</f>
        <v>45</v>
      </c>
      <c r="M6" s="18" t="n">
        <f aca="false">IF(H6="","",ROUND(K6*OrderRule!$B$10,0))</f>
        <v>378</v>
      </c>
    </row>
    <row r="7" customFormat="false" ht="15" hidden="false" customHeight="false" outlineLevel="0" collapsed="false">
      <c r="A7" s="6" t="s">
        <v>565</v>
      </c>
      <c r="B7" s="59" t="n">
        <v>3003</v>
      </c>
      <c r="C7" s="59" t="n">
        <v>1</v>
      </c>
      <c r="D7" s="59" t="n">
        <v>3004</v>
      </c>
      <c r="E7" s="59" t="n">
        <v>1</v>
      </c>
      <c r="F7" s="59" t="n">
        <v>3011</v>
      </c>
      <c r="G7" s="59" t="n">
        <v>2</v>
      </c>
      <c r="H7" s="59" t="n">
        <v>3</v>
      </c>
      <c r="I7" s="18" t="n">
        <f aca="false">IF(H7="","",IF(B7="",0,C7*INDEX(Item!$E$4:$E$44,MATCH(B7,Item!$A$4:$A$44,0)))+IF(D7="",0,E7*INDEX(Item!$E$4:$E$44,MATCH(D7,Item!$A$4:$A$44,0)))+IF(F7="",0,G7*INDEX(Item!$E$4:$E$44,MATCH(F7,Item!$A$4:$A$44,0))))</f>
        <v>255</v>
      </c>
      <c r="J7" s="24" t="n">
        <f aca="false">IF(H7="","",CHOOSE(H7,OrderRule!$B$4,OrderRule!$B$5,OrderRule!$B$6))</f>
        <v>1.6</v>
      </c>
      <c r="K7" s="58" t="n">
        <f aca="false">IF(H7="","",ROUND(I7*J7,0))</f>
        <v>408</v>
      </c>
      <c r="L7" s="18" t="n">
        <f aca="false">IF(H7="","",MAX(OrderRule!$B$8,ROUND(I7*OrderRule!$B$7,0)))</f>
        <v>64</v>
      </c>
      <c r="M7" s="18" t="n">
        <f aca="false">IF(H7="","",ROUND(K7*OrderRule!$B$10,0))</f>
        <v>612</v>
      </c>
    </row>
    <row r="8" customFormat="false" ht="15" hidden="false" customHeight="false" outlineLevel="0" collapsed="false">
      <c r="A8" s="6" t="s">
        <v>566</v>
      </c>
      <c r="B8" s="59" t="n">
        <v>3007</v>
      </c>
      <c r="C8" s="59" t="n">
        <v>2</v>
      </c>
      <c r="D8" s="59" t="n">
        <v>3008</v>
      </c>
      <c r="E8" s="59" t="n">
        <v>1</v>
      </c>
      <c r="F8" s="59" t="n">
        <v>3006</v>
      </c>
      <c r="G8" s="59" t="n">
        <v>1</v>
      </c>
      <c r="H8" s="59" t="n">
        <v>3</v>
      </c>
      <c r="I8" s="18" t="n">
        <f aca="false">IF(H8="","",IF(B8="",0,C8*INDEX(Item!$E$4:$E$44,MATCH(B8,Item!$A$4:$A$44,0)))+IF(D8="",0,E8*INDEX(Item!$E$4:$E$44,MATCH(D8,Item!$A$4:$A$44,0)))+IF(F8="",0,G8*INDEX(Item!$E$4:$E$44,MATCH(F8,Item!$A$4:$A$44,0))))</f>
        <v>840</v>
      </c>
      <c r="J8" s="24" t="n">
        <f aca="false">IF(H8="","",CHOOSE(H8,OrderRule!$B$4,OrderRule!$B$5,OrderRule!$B$6))</f>
        <v>1.6</v>
      </c>
      <c r="K8" s="58" t="n">
        <f aca="false">IF(H8="","",ROUND(I8*J8,0))</f>
        <v>1344</v>
      </c>
      <c r="L8" s="18" t="n">
        <f aca="false">IF(H8="","",MAX(OrderRule!$B$8,ROUND(I8*OrderRule!$B$7,0)))</f>
        <v>210</v>
      </c>
      <c r="M8" s="18" t="n">
        <f aca="false">IF(H8="","",ROUND(K8*OrderRule!$B$10,0))</f>
        <v>2016</v>
      </c>
    </row>
    <row r="9" customFormat="false" ht="15" hidden="false" customHeight="false" outlineLevel="0" collapsed="false">
      <c r="A9" s="6"/>
      <c r="B9" s="41"/>
      <c r="C9" s="41"/>
      <c r="D9" s="41"/>
      <c r="E9" s="41"/>
      <c r="F9" s="41"/>
      <c r="G9" s="41"/>
      <c r="H9" s="41"/>
      <c r="I9" s="18" t="str">
        <f aca="false">IF(H9="","",IF(B9="",0,C9*INDEX(Item!$E$4:$E$44,MATCH(B9,Item!$A$4:$A$44,0)))+IF(D9="",0,E9*INDEX(Item!$E$4:$E$44,MATCH(D9,Item!$A$4:$A$44,0)))+IF(F9="",0,G9*INDEX(Item!$E$4:$E$44,MATCH(F9,Item!$A$4:$A$44,0))))</f>
        <v/>
      </c>
      <c r="J9" s="24" t="str">
        <f aca="false">IF(H9="","",CHOOSE(H9,OrderRule!$B$4,OrderRule!$B$5,OrderRule!$B$6))</f>
        <v/>
      </c>
      <c r="K9" s="58" t="str">
        <f aca="false">IF(H9="","",ROUND(I9*J9,0))</f>
        <v/>
      </c>
      <c r="L9" s="18" t="str">
        <f aca="false">IF(H9="","",MAX(OrderRule!$B$8,ROUND(I9*OrderRule!$B$7,0)))</f>
        <v/>
      </c>
      <c r="M9" s="18" t="str">
        <f aca="false">IF(H9="","",ROUND(K9*OrderRule!$B$10,0))</f>
        <v/>
      </c>
    </row>
    <row r="10" customFormat="false" ht="15" hidden="false" customHeight="false" outlineLevel="0" collapsed="false">
      <c r="A10" s="6"/>
      <c r="B10" s="41"/>
      <c r="C10" s="41"/>
      <c r="D10" s="41"/>
      <c r="E10" s="41"/>
      <c r="F10" s="41"/>
      <c r="G10" s="41"/>
      <c r="H10" s="41"/>
      <c r="I10" s="18" t="str">
        <f aca="false">IF(H10="","",IF(B10="",0,C10*INDEX(Item!$E$4:$E$44,MATCH(B10,Item!$A$4:$A$44,0)))+IF(D10="",0,E10*INDEX(Item!$E$4:$E$44,MATCH(D10,Item!$A$4:$A$44,0)))+IF(F10="",0,G10*INDEX(Item!$E$4:$E$44,MATCH(F10,Item!$A$4:$A$44,0))))</f>
        <v/>
      </c>
      <c r="J10" s="24" t="str">
        <f aca="false">IF(H10="","",CHOOSE(H10,OrderRule!$B$4,OrderRule!$B$5,OrderRule!$B$6))</f>
        <v/>
      </c>
      <c r="K10" s="58" t="str">
        <f aca="false">IF(H10="","",ROUND(I10*J10,0))</f>
        <v/>
      </c>
      <c r="L10" s="18" t="str">
        <f aca="false">IF(H10="","",MAX(OrderRule!$B$8,ROUND(I10*OrderRule!$B$7,0)))</f>
        <v/>
      </c>
      <c r="M10" s="18" t="str">
        <f aca="false">IF(H10="","",ROUND(K10*OrderRule!$B$10,0))</f>
        <v/>
      </c>
    </row>
    <row r="11" customFormat="false" ht="15" hidden="false" customHeight="false" outlineLevel="0" collapsed="false">
      <c r="A11" s="6"/>
      <c r="B11" s="41"/>
      <c r="C11" s="41"/>
      <c r="D11" s="41"/>
      <c r="E11" s="41"/>
      <c r="F11" s="41"/>
      <c r="G11" s="41"/>
      <c r="H11" s="41"/>
      <c r="I11" s="18" t="str">
        <f aca="false">IF(H11="","",IF(B11="",0,C11*INDEX(Item!$E$4:$E$44,MATCH(B11,Item!$A$4:$A$44,0)))+IF(D11="",0,E11*INDEX(Item!$E$4:$E$44,MATCH(D11,Item!$A$4:$A$44,0)))+IF(F11="",0,G11*INDEX(Item!$E$4:$E$44,MATCH(F11,Item!$A$4:$A$44,0))))</f>
        <v/>
      </c>
      <c r="J11" s="24" t="str">
        <f aca="false">IF(H11="","",CHOOSE(H11,OrderRule!$B$4,OrderRule!$B$5,OrderRule!$B$6))</f>
        <v/>
      </c>
      <c r="K11" s="58" t="str">
        <f aca="false">IF(H11="","",ROUND(I11*J11,0))</f>
        <v/>
      </c>
      <c r="L11" s="18" t="str">
        <f aca="false">IF(H11="","",MAX(OrderRule!$B$8,ROUND(I11*OrderRule!$B$7,0)))</f>
        <v/>
      </c>
      <c r="M11" s="18" t="str">
        <f aca="false">IF(H11="","",ROUND(K11*OrderRule!$B$10,0))</f>
        <v/>
      </c>
    </row>
    <row r="12" customFormat="false" ht="15" hidden="false" customHeight="false" outlineLevel="0" collapsed="false">
      <c r="A12" s="6"/>
      <c r="B12" s="41"/>
      <c r="C12" s="41"/>
      <c r="D12" s="41"/>
      <c r="E12" s="41"/>
      <c r="F12" s="41"/>
      <c r="G12" s="41"/>
      <c r="H12" s="41"/>
      <c r="I12" s="18" t="str">
        <f aca="false">IF(H12="","",IF(B12="",0,C12*INDEX(Item!$E$4:$E$44,MATCH(B12,Item!$A$4:$A$44,0)))+IF(D12="",0,E12*INDEX(Item!$E$4:$E$44,MATCH(D12,Item!$A$4:$A$44,0)))+IF(F12="",0,G12*INDEX(Item!$E$4:$E$44,MATCH(F12,Item!$A$4:$A$44,0))))</f>
        <v/>
      </c>
      <c r="J12" s="24" t="str">
        <f aca="false">IF(H12="","",CHOOSE(H12,OrderRule!$B$4,OrderRule!$B$5,OrderRule!$B$6))</f>
        <v/>
      </c>
      <c r="K12" s="58" t="str">
        <f aca="false">IF(H12="","",ROUND(I12*J12,0))</f>
        <v/>
      </c>
      <c r="L12" s="18" t="str">
        <f aca="false">IF(H12="","",MAX(OrderRule!$B$8,ROUND(I12*OrderRule!$B$7,0)))</f>
        <v/>
      </c>
      <c r="M12" s="18" t="str">
        <f aca="false">IF(H12="","",ROUND(K12*OrderRule!$B$10,0))</f>
        <v/>
      </c>
    </row>
    <row r="13" customFormat="false" ht="15" hidden="false" customHeight="false" outlineLevel="0" collapsed="false">
      <c r="A13" s="6"/>
      <c r="B13" s="41"/>
      <c r="C13" s="41"/>
      <c r="D13" s="41"/>
      <c r="E13" s="41"/>
      <c r="F13" s="41"/>
      <c r="G13" s="41"/>
      <c r="H13" s="41"/>
      <c r="I13" s="18" t="str">
        <f aca="false">IF(H13="","",IF(B13="",0,C13*INDEX(Item!$E$4:$E$44,MATCH(B13,Item!$A$4:$A$44,0)))+IF(D13="",0,E13*INDEX(Item!$E$4:$E$44,MATCH(D13,Item!$A$4:$A$44,0)))+IF(F13="",0,G13*INDEX(Item!$E$4:$E$44,MATCH(F13,Item!$A$4:$A$44,0))))</f>
        <v/>
      </c>
      <c r="J13" s="24" t="str">
        <f aca="false">IF(H13="","",CHOOSE(H13,OrderRule!$B$4,OrderRule!$B$5,OrderRule!$B$6))</f>
        <v/>
      </c>
      <c r="K13" s="58" t="str">
        <f aca="false">IF(H13="","",ROUND(I13*J13,0))</f>
        <v/>
      </c>
      <c r="L13" s="18" t="str">
        <f aca="false">IF(H13="","",MAX(OrderRule!$B$8,ROUND(I13*OrderRule!$B$7,0)))</f>
        <v/>
      </c>
      <c r="M13" s="18" t="str">
        <f aca="false">IF(H13="","",ROUND(K13*OrderRule!$B$10,0))</f>
        <v/>
      </c>
    </row>
    <row r="14" customFormat="false" ht="15" hidden="false" customHeight="false" outlineLevel="0" collapsed="false">
      <c r="A14" s="6"/>
      <c r="B14" s="41"/>
      <c r="C14" s="41"/>
      <c r="D14" s="41"/>
      <c r="E14" s="41"/>
      <c r="F14" s="41"/>
      <c r="G14" s="41"/>
      <c r="H14" s="41"/>
      <c r="I14" s="18" t="str">
        <f aca="false">IF(H14="","",IF(B14="",0,C14*INDEX(Item!$E$4:$E$44,MATCH(B14,Item!$A$4:$A$44,0)))+IF(D14="",0,E14*INDEX(Item!$E$4:$E$44,MATCH(D14,Item!$A$4:$A$44,0)))+IF(F14="",0,G14*INDEX(Item!$E$4:$E$44,MATCH(F14,Item!$A$4:$A$44,0))))</f>
        <v/>
      </c>
      <c r="J14" s="24" t="str">
        <f aca="false">IF(H14="","",CHOOSE(H14,OrderRule!$B$4,OrderRule!$B$5,OrderRule!$B$6))</f>
        <v/>
      </c>
      <c r="K14" s="58" t="str">
        <f aca="false">IF(H14="","",ROUND(I14*J14,0))</f>
        <v/>
      </c>
      <c r="L14" s="18" t="str">
        <f aca="false">IF(H14="","",MAX(OrderRule!$B$8,ROUND(I14*OrderRule!$B$7,0)))</f>
        <v/>
      </c>
      <c r="M14" s="18" t="str">
        <f aca="false">IF(H14="","",ROUND(K14*OrderRule!$B$10,0))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8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9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567</v>
      </c>
      <c r="D1" s="44" t="s">
        <v>568</v>
      </c>
      <c r="E1" s="44" t="s">
        <v>569</v>
      </c>
      <c r="F1" s="44" t="s">
        <v>268</v>
      </c>
      <c r="G1" s="44" t="s">
        <v>570</v>
      </c>
      <c r="H1" s="51" t="s">
        <v>571</v>
      </c>
      <c r="I1" s="51" t="s">
        <v>572</v>
      </c>
    </row>
    <row r="2" customFormat="false" ht="15" hidden="false" customHeight="false" outlineLevel="0" collapsed="false">
      <c r="A2" s="45" t="s">
        <v>269</v>
      </c>
      <c r="B2" s="45" t="s">
        <v>216</v>
      </c>
      <c r="C2" s="45" t="s">
        <v>269</v>
      </c>
      <c r="D2" s="45" t="s">
        <v>269</v>
      </c>
      <c r="E2" s="45" t="s">
        <v>269</v>
      </c>
      <c r="F2" s="45" t="s">
        <v>269</v>
      </c>
      <c r="G2" s="45" t="s">
        <v>269</v>
      </c>
      <c r="H2" s="52" t="s">
        <v>377</v>
      </c>
      <c r="I2" s="52" t="s">
        <v>377</v>
      </c>
    </row>
    <row r="3" customFormat="false" ht="27.75" hidden="false" customHeight="true" outlineLevel="0" collapsed="false">
      <c r="A3" s="47" t="s">
        <v>573</v>
      </c>
      <c r="B3" s="47" t="s">
        <v>130</v>
      </c>
      <c r="C3" s="47" t="s">
        <v>574</v>
      </c>
      <c r="D3" s="47" t="s">
        <v>575</v>
      </c>
      <c r="E3" s="47" t="s">
        <v>576</v>
      </c>
      <c r="F3" s="47" t="s">
        <v>274</v>
      </c>
      <c r="G3" s="47" t="s">
        <v>577</v>
      </c>
      <c r="H3" s="53" t="s">
        <v>578</v>
      </c>
      <c r="I3" s="53" t="s">
        <v>579</v>
      </c>
    </row>
    <row r="4" customFormat="false" ht="15" hidden="false" customHeight="false" outlineLevel="0" collapsed="false">
      <c r="A4" s="33" t="n">
        <v>6001</v>
      </c>
      <c r="B4" s="6" t="s">
        <v>580</v>
      </c>
      <c r="C4" s="33" t="n">
        <v>1</v>
      </c>
      <c r="D4" s="33" t="n">
        <v>1</v>
      </c>
      <c r="E4" s="17" t="n">
        <v>30</v>
      </c>
      <c r="F4" s="33" t="n">
        <v>6</v>
      </c>
      <c r="G4" s="33" t="n">
        <v>1</v>
      </c>
      <c r="H4" s="60" t="n">
        <f aca="false">C4*D4</f>
        <v>1</v>
      </c>
      <c r="I4" s="54" t="n">
        <f aca="false">E4/G4</f>
        <v>30</v>
      </c>
    </row>
    <row r="5" customFormat="false" ht="15" hidden="false" customHeight="false" outlineLevel="0" collapsed="false">
      <c r="A5" s="33" t="n">
        <v>6002</v>
      </c>
      <c r="B5" s="6" t="s">
        <v>581</v>
      </c>
      <c r="C5" s="33" t="n">
        <v>1</v>
      </c>
      <c r="D5" s="33" t="n">
        <v>1</v>
      </c>
      <c r="E5" s="17" t="n">
        <v>50</v>
      </c>
      <c r="F5" s="33" t="n">
        <v>6</v>
      </c>
      <c r="G5" s="33" t="n">
        <v>2</v>
      </c>
      <c r="H5" s="60" t="n">
        <f aca="false">C5*D5</f>
        <v>1</v>
      </c>
      <c r="I5" s="54" t="n">
        <f aca="false">E5/G5</f>
        <v>25</v>
      </c>
    </row>
    <row r="6" customFormat="false" ht="15" hidden="false" customHeight="false" outlineLevel="0" collapsed="false">
      <c r="A6" s="33" t="n">
        <v>6003</v>
      </c>
      <c r="B6" s="6" t="s">
        <v>582</v>
      </c>
      <c r="C6" s="33" t="n">
        <v>2</v>
      </c>
      <c r="D6" s="33" t="n">
        <v>1</v>
      </c>
      <c r="E6" s="17" t="n">
        <v>120</v>
      </c>
      <c r="F6" s="33" t="n">
        <v>6</v>
      </c>
      <c r="G6" s="33" t="n">
        <v>3</v>
      </c>
      <c r="H6" s="60" t="n">
        <f aca="false">C6*D6</f>
        <v>2</v>
      </c>
      <c r="I6" s="54" t="n">
        <f aca="false">E6/G6</f>
        <v>40</v>
      </c>
    </row>
    <row r="7" customFormat="false" ht="15" hidden="false" customHeight="false" outlineLevel="0" collapsed="false">
      <c r="A7" s="33" t="n">
        <v>6004</v>
      </c>
      <c r="B7" s="6" t="s">
        <v>583</v>
      </c>
      <c r="C7" s="33" t="n">
        <v>1</v>
      </c>
      <c r="D7" s="33" t="n">
        <v>1</v>
      </c>
      <c r="E7" s="17" t="n">
        <v>150</v>
      </c>
      <c r="F7" s="33" t="n">
        <v>6</v>
      </c>
      <c r="G7" s="33" t="n">
        <v>3</v>
      </c>
      <c r="H7" s="60" t="n">
        <f aca="false">C7*D7</f>
        <v>1</v>
      </c>
      <c r="I7" s="54" t="n">
        <f aca="false">E7/G7</f>
        <v>50</v>
      </c>
    </row>
    <row r="8" customFormat="false" ht="15" hidden="false" customHeight="false" outlineLevel="0" collapsed="false">
      <c r="A8" s="33" t="n">
        <v>6005</v>
      </c>
      <c r="B8" s="6" t="s">
        <v>584</v>
      </c>
      <c r="C8" s="33" t="n">
        <v>2</v>
      </c>
      <c r="D8" s="33" t="n">
        <v>2</v>
      </c>
      <c r="E8" s="17" t="n">
        <v>200</v>
      </c>
      <c r="F8" s="33" t="n">
        <v>8</v>
      </c>
      <c r="G8" s="33" t="n">
        <v>4</v>
      </c>
      <c r="H8" s="60" t="n">
        <f aca="false">C8*D8</f>
        <v>4</v>
      </c>
      <c r="I8" s="54" t="n">
        <f aca="false">E8/G8</f>
        <v>50</v>
      </c>
    </row>
    <row r="9" customFormat="false" ht="15" hidden="false" customHeight="false" outlineLevel="0" collapsed="false">
      <c r="A9" s="33" t="n">
        <v>6006</v>
      </c>
      <c r="B9" s="6" t="s">
        <v>585</v>
      </c>
      <c r="C9" s="33" t="n">
        <v>2</v>
      </c>
      <c r="D9" s="33" t="n">
        <v>2</v>
      </c>
      <c r="E9" s="17" t="n">
        <v>300</v>
      </c>
      <c r="F9" s="33" t="n">
        <v>8</v>
      </c>
      <c r="G9" s="33" t="n">
        <v>5</v>
      </c>
      <c r="H9" s="60" t="n">
        <f aca="false">C9*D9</f>
        <v>4</v>
      </c>
      <c r="I9" s="54" t="n">
        <f aca="false">E9/G9</f>
        <v>60</v>
      </c>
    </row>
    <row r="10" customFormat="false" ht="15" hidden="false" customHeight="false" outlineLevel="0" collapsed="false">
      <c r="A10" s="33" t="n">
        <v>6007</v>
      </c>
      <c r="B10" s="6" t="s">
        <v>586</v>
      </c>
      <c r="C10" s="33" t="n">
        <v>3</v>
      </c>
      <c r="D10" s="33" t="n">
        <v>2</v>
      </c>
      <c r="E10" s="17" t="n">
        <v>250</v>
      </c>
      <c r="F10" s="33" t="n">
        <v>8</v>
      </c>
      <c r="G10" s="33" t="n">
        <v>4</v>
      </c>
      <c r="H10" s="60" t="n">
        <f aca="false">C10*D10</f>
        <v>6</v>
      </c>
      <c r="I10" s="54" t="n">
        <f aca="false">E10/G10</f>
        <v>62.5</v>
      </c>
    </row>
    <row r="11" customFormat="false" ht="15" hidden="false" customHeight="false" outlineLevel="0" collapsed="false">
      <c r="A11" s="33" t="n">
        <v>6008</v>
      </c>
      <c r="B11" s="6" t="s">
        <v>587</v>
      </c>
      <c r="C11" s="33" t="n">
        <v>2</v>
      </c>
      <c r="D11" s="33" t="n">
        <v>2</v>
      </c>
      <c r="E11" s="17" t="n">
        <v>600</v>
      </c>
      <c r="F11" s="33" t="n">
        <v>12</v>
      </c>
      <c r="G11" s="33" t="n">
        <v>8</v>
      </c>
      <c r="H11" s="60" t="n">
        <f aca="false">C11*D11</f>
        <v>4</v>
      </c>
      <c r="I11" s="54" t="n">
        <f aca="false">E11/G11</f>
        <v>75</v>
      </c>
    </row>
    <row r="12" customFormat="false" ht="15" hidden="false" customHeight="false" outlineLevel="0" collapsed="false">
      <c r="A12" s="33" t="n">
        <v>6009</v>
      </c>
      <c r="B12" s="6" t="s">
        <v>588</v>
      </c>
      <c r="C12" s="33" t="n">
        <v>3</v>
      </c>
      <c r="D12" s="33" t="n">
        <v>3</v>
      </c>
      <c r="E12" s="17" t="n">
        <v>1500</v>
      </c>
      <c r="F12" s="33" t="n">
        <v>12</v>
      </c>
      <c r="G12" s="33" t="n">
        <v>15</v>
      </c>
      <c r="H12" s="60" t="n">
        <f aca="false">C12*D12</f>
        <v>9</v>
      </c>
      <c r="I12" s="54" t="n">
        <f aca="false">E12/G12</f>
        <v>100</v>
      </c>
    </row>
    <row r="13" customFormat="false" ht="15" hidden="false" customHeight="false" outlineLevel="0" collapsed="false">
      <c r="A13" s="33" t="n">
        <v>6010</v>
      </c>
      <c r="B13" s="6" t="s">
        <v>589</v>
      </c>
      <c r="C13" s="33" t="n">
        <v>3</v>
      </c>
      <c r="D13" s="33" t="n">
        <v>3</v>
      </c>
      <c r="E13" s="17" t="n">
        <v>3000</v>
      </c>
      <c r="F13" s="33" t="n">
        <v>16</v>
      </c>
      <c r="G13" s="33" t="n">
        <v>25</v>
      </c>
      <c r="H13" s="60" t="n">
        <f aca="false">C13*D13</f>
        <v>9</v>
      </c>
      <c r="I13" s="54" t="n">
        <f aca="false">E13/G13</f>
        <v>120</v>
      </c>
    </row>
  </sheetData>
  <autoFilter ref="A3:I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9"/>
  </cols>
  <sheetData>
    <row r="1" customFormat="false" ht="15" hidden="false" customHeight="false" outlineLevel="0" collapsed="false">
      <c r="A1" s="44" t="s">
        <v>262</v>
      </c>
      <c r="B1" s="44" t="s">
        <v>263</v>
      </c>
      <c r="C1" s="44" t="s">
        <v>590</v>
      </c>
      <c r="D1" s="44" t="s">
        <v>591</v>
      </c>
      <c r="E1" s="44" t="s">
        <v>592</v>
      </c>
      <c r="F1" s="44" t="s">
        <v>569</v>
      </c>
      <c r="G1" s="44" t="s">
        <v>593</v>
      </c>
      <c r="H1" s="44" t="s">
        <v>594</v>
      </c>
    </row>
    <row r="2" customFormat="false" ht="15" hidden="false" customHeight="false" outlineLevel="0" collapsed="false">
      <c r="A2" s="45" t="s">
        <v>269</v>
      </c>
      <c r="B2" s="45" t="s">
        <v>216</v>
      </c>
      <c r="C2" s="45" t="s">
        <v>216</v>
      </c>
      <c r="D2" s="45" t="s">
        <v>216</v>
      </c>
      <c r="E2" s="45" t="s">
        <v>216</v>
      </c>
      <c r="F2" s="45" t="s">
        <v>269</v>
      </c>
      <c r="G2" s="45" t="s">
        <v>216</v>
      </c>
      <c r="H2" s="45" t="s">
        <v>269</v>
      </c>
    </row>
    <row r="3" customFormat="false" ht="27.75" hidden="false" customHeight="true" outlineLevel="0" collapsed="false">
      <c r="A3" s="47" t="s">
        <v>595</v>
      </c>
      <c r="B3" s="47" t="s">
        <v>130</v>
      </c>
      <c r="C3" s="47" t="s">
        <v>596</v>
      </c>
      <c r="D3" s="47" t="s">
        <v>597</v>
      </c>
      <c r="E3" s="47" t="s">
        <v>119</v>
      </c>
      <c r="F3" s="47" t="s">
        <v>598</v>
      </c>
      <c r="G3" s="47" t="s">
        <v>599</v>
      </c>
      <c r="H3" s="47" t="s">
        <v>600</v>
      </c>
    </row>
    <row r="4" customFormat="false" ht="15" hidden="false" customHeight="false" outlineLevel="0" collapsed="false">
      <c r="A4" s="33" t="n">
        <v>7001</v>
      </c>
      <c r="B4" s="6" t="s">
        <v>601</v>
      </c>
      <c r="C4" s="8" t="s">
        <v>602</v>
      </c>
      <c r="D4" s="8" t="s">
        <v>603</v>
      </c>
      <c r="E4" s="6" t="s">
        <v>604</v>
      </c>
      <c r="F4" s="57"/>
      <c r="G4" s="6" t="s">
        <v>605</v>
      </c>
      <c r="H4" s="33" t="n">
        <v>0</v>
      </c>
    </row>
    <row r="5" customFormat="false" ht="15" hidden="false" customHeight="false" outlineLevel="0" collapsed="false">
      <c r="A5" s="33" t="n">
        <v>7002</v>
      </c>
      <c r="B5" s="6" t="s">
        <v>606</v>
      </c>
      <c r="C5" s="8" t="s">
        <v>602</v>
      </c>
      <c r="D5" s="8" t="s">
        <v>603</v>
      </c>
      <c r="E5" s="6" t="s">
        <v>607</v>
      </c>
      <c r="F5" s="17" t="n">
        <v>200</v>
      </c>
      <c r="G5" s="6" t="s">
        <v>605</v>
      </c>
      <c r="H5" s="33" t="n">
        <v>0</v>
      </c>
    </row>
    <row r="6" customFormat="false" ht="15" hidden="false" customHeight="false" outlineLevel="0" collapsed="false">
      <c r="A6" s="33" t="n">
        <v>7003</v>
      </c>
      <c r="B6" s="6" t="s">
        <v>608</v>
      </c>
      <c r="C6" s="8" t="s">
        <v>602</v>
      </c>
      <c r="D6" s="8" t="s">
        <v>609</v>
      </c>
      <c r="E6" s="6" t="s">
        <v>190</v>
      </c>
      <c r="F6" s="57"/>
      <c r="G6" s="6" t="s">
        <v>605</v>
      </c>
      <c r="H6" s="33" t="n">
        <v>0</v>
      </c>
    </row>
    <row r="7" customFormat="false" ht="15" hidden="false" customHeight="false" outlineLevel="0" collapsed="false">
      <c r="A7" s="33" t="n">
        <v>7004</v>
      </c>
      <c r="B7" s="6" t="s">
        <v>610</v>
      </c>
      <c r="C7" s="8" t="s">
        <v>602</v>
      </c>
      <c r="D7" s="8" t="s">
        <v>611</v>
      </c>
      <c r="E7" s="6" t="s">
        <v>190</v>
      </c>
      <c r="F7" s="57"/>
      <c r="G7" s="6" t="s">
        <v>605</v>
      </c>
      <c r="H7" s="33" t="n">
        <v>0</v>
      </c>
    </row>
    <row r="8" customFormat="false" ht="15" hidden="false" customHeight="false" outlineLevel="0" collapsed="false">
      <c r="A8" s="33" t="n">
        <v>7005</v>
      </c>
      <c r="B8" s="6" t="s">
        <v>612</v>
      </c>
      <c r="C8" s="8" t="s">
        <v>602</v>
      </c>
      <c r="D8" s="8" t="s">
        <v>613</v>
      </c>
      <c r="E8" s="6" t="s">
        <v>190</v>
      </c>
      <c r="F8" s="57"/>
      <c r="G8" s="6" t="s">
        <v>605</v>
      </c>
      <c r="H8" s="33" t="n">
        <v>0</v>
      </c>
    </row>
    <row r="9" customFormat="false" ht="15" hidden="false" customHeight="false" outlineLevel="0" collapsed="false">
      <c r="A9" s="33" t="n">
        <v>7006</v>
      </c>
      <c r="B9" s="6" t="s">
        <v>614</v>
      </c>
      <c r="C9" s="8" t="s">
        <v>615</v>
      </c>
      <c r="D9" s="8" t="s">
        <v>603</v>
      </c>
      <c r="E9" s="6" t="s">
        <v>604</v>
      </c>
      <c r="F9" s="57"/>
      <c r="G9" s="6" t="s">
        <v>605</v>
      </c>
      <c r="H9" s="33" t="n">
        <v>0</v>
      </c>
    </row>
    <row r="10" customFormat="false" ht="15" hidden="false" customHeight="false" outlineLevel="0" collapsed="false">
      <c r="A10" s="33" t="n">
        <v>7007</v>
      </c>
      <c r="B10" s="6" t="s">
        <v>616</v>
      </c>
      <c r="C10" s="8" t="s">
        <v>615</v>
      </c>
      <c r="D10" s="8" t="s">
        <v>603</v>
      </c>
      <c r="E10" s="6" t="s">
        <v>607</v>
      </c>
      <c r="F10" s="17" t="n">
        <v>250</v>
      </c>
      <c r="G10" s="6" t="s">
        <v>605</v>
      </c>
      <c r="H10" s="33" t="n">
        <v>0</v>
      </c>
    </row>
    <row r="11" customFormat="false" ht="15" hidden="false" customHeight="false" outlineLevel="0" collapsed="false">
      <c r="A11" s="33" t="n">
        <v>7008</v>
      </c>
      <c r="B11" s="6" t="s">
        <v>617</v>
      </c>
      <c r="C11" s="8" t="s">
        <v>615</v>
      </c>
      <c r="D11" s="8" t="s">
        <v>609</v>
      </c>
      <c r="E11" s="6" t="s">
        <v>190</v>
      </c>
      <c r="F11" s="57"/>
      <c r="G11" s="6" t="s">
        <v>605</v>
      </c>
      <c r="H11" s="33" t="n">
        <v>0</v>
      </c>
    </row>
    <row r="12" customFormat="false" ht="15" hidden="false" customHeight="false" outlineLevel="0" collapsed="false">
      <c r="A12" s="33" t="n">
        <v>7009</v>
      </c>
      <c r="B12" s="6" t="s">
        <v>618</v>
      </c>
      <c r="C12" s="8" t="s">
        <v>615</v>
      </c>
      <c r="D12" s="8" t="s">
        <v>609</v>
      </c>
      <c r="E12" s="6" t="s">
        <v>190</v>
      </c>
      <c r="F12" s="57"/>
      <c r="G12" s="6" t="s">
        <v>605</v>
      </c>
      <c r="H12" s="33" t="n">
        <v>0</v>
      </c>
    </row>
    <row r="13" customFormat="false" ht="15" hidden="false" customHeight="false" outlineLevel="0" collapsed="false">
      <c r="A13" s="33" t="n">
        <v>7010</v>
      </c>
      <c r="B13" s="6" t="s">
        <v>619</v>
      </c>
      <c r="C13" s="8" t="s">
        <v>615</v>
      </c>
      <c r="D13" s="8" t="s">
        <v>611</v>
      </c>
      <c r="E13" s="6" t="s">
        <v>190</v>
      </c>
      <c r="F13" s="57"/>
      <c r="G13" s="6" t="s">
        <v>605</v>
      </c>
      <c r="H13" s="33" t="n">
        <v>0</v>
      </c>
    </row>
    <row r="14" customFormat="false" ht="15" hidden="false" customHeight="false" outlineLevel="0" collapsed="false">
      <c r="A14" s="33" t="n">
        <v>7011</v>
      </c>
      <c r="B14" s="6" t="s">
        <v>620</v>
      </c>
      <c r="C14" s="8" t="s">
        <v>621</v>
      </c>
      <c r="D14" s="8" t="s">
        <v>603</v>
      </c>
      <c r="E14" s="6" t="s">
        <v>604</v>
      </c>
      <c r="F14" s="57"/>
      <c r="G14" s="6" t="s">
        <v>605</v>
      </c>
      <c r="H14" s="33" t="n">
        <v>0</v>
      </c>
    </row>
    <row r="15" customFormat="false" ht="15" hidden="false" customHeight="false" outlineLevel="0" collapsed="false">
      <c r="A15" s="33" t="n">
        <v>7012</v>
      </c>
      <c r="B15" s="6" t="s">
        <v>622</v>
      </c>
      <c r="C15" s="8" t="s">
        <v>621</v>
      </c>
      <c r="D15" s="8" t="s">
        <v>603</v>
      </c>
      <c r="E15" s="6" t="s">
        <v>607</v>
      </c>
      <c r="F15" s="17" t="n">
        <v>250</v>
      </c>
      <c r="G15" s="6" t="s">
        <v>605</v>
      </c>
      <c r="H15" s="33" t="n">
        <v>0</v>
      </c>
    </row>
    <row r="16" customFormat="false" ht="15" hidden="false" customHeight="false" outlineLevel="0" collapsed="false">
      <c r="A16" s="33" t="n">
        <v>7013</v>
      </c>
      <c r="B16" s="6" t="s">
        <v>623</v>
      </c>
      <c r="C16" s="8" t="s">
        <v>621</v>
      </c>
      <c r="D16" s="8" t="s">
        <v>609</v>
      </c>
      <c r="E16" s="6" t="s">
        <v>190</v>
      </c>
      <c r="F16" s="57"/>
      <c r="G16" s="6" t="s">
        <v>605</v>
      </c>
      <c r="H16" s="33" t="n">
        <v>0</v>
      </c>
    </row>
    <row r="17" customFormat="false" ht="15" hidden="false" customHeight="false" outlineLevel="0" collapsed="false">
      <c r="A17" s="33" t="n">
        <v>7014</v>
      </c>
      <c r="B17" s="6" t="s">
        <v>624</v>
      </c>
      <c r="C17" s="8" t="s">
        <v>621</v>
      </c>
      <c r="D17" s="8" t="s">
        <v>609</v>
      </c>
      <c r="E17" s="6" t="s">
        <v>190</v>
      </c>
      <c r="F17" s="57"/>
      <c r="G17" s="6" t="s">
        <v>605</v>
      </c>
      <c r="H17" s="33" t="n">
        <v>0</v>
      </c>
    </row>
    <row r="18" customFormat="false" ht="15" hidden="false" customHeight="false" outlineLevel="0" collapsed="false">
      <c r="A18" s="33" t="n">
        <v>7015</v>
      </c>
      <c r="B18" s="6" t="s">
        <v>625</v>
      </c>
      <c r="C18" s="8" t="s">
        <v>621</v>
      </c>
      <c r="D18" s="8" t="s">
        <v>611</v>
      </c>
      <c r="E18" s="6" t="s">
        <v>190</v>
      </c>
      <c r="F18" s="57"/>
      <c r="G18" s="6" t="s">
        <v>605</v>
      </c>
      <c r="H18" s="33" t="n">
        <v>0</v>
      </c>
    </row>
    <row r="19" customFormat="false" ht="15" hidden="false" customHeight="false" outlineLevel="0" collapsed="false">
      <c r="A19" s="33" t="n">
        <v>7016</v>
      </c>
      <c r="B19" s="6" t="s">
        <v>626</v>
      </c>
      <c r="C19" s="8" t="s">
        <v>627</v>
      </c>
      <c r="D19" s="8" t="s">
        <v>603</v>
      </c>
      <c r="E19" s="6" t="s">
        <v>604</v>
      </c>
      <c r="F19" s="57"/>
      <c r="G19" s="6" t="s">
        <v>605</v>
      </c>
      <c r="H19" s="33" t="n">
        <v>0</v>
      </c>
    </row>
    <row r="20" customFormat="false" ht="15" hidden="false" customHeight="false" outlineLevel="0" collapsed="false">
      <c r="A20" s="33" t="n">
        <v>7017</v>
      </c>
      <c r="B20" s="6" t="s">
        <v>628</v>
      </c>
      <c r="C20" s="8" t="s">
        <v>627</v>
      </c>
      <c r="D20" s="8" t="s">
        <v>603</v>
      </c>
      <c r="E20" s="6" t="s">
        <v>607</v>
      </c>
      <c r="F20" s="17" t="n">
        <v>300</v>
      </c>
      <c r="G20" s="6" t="s">
        <v>605</v>
      </c>
      <c r="H20" s="33" t="n">
        <v>0</v>
      </c>
    </row>
    <row r="21" customFormat="false" ht="15" hidden="false" customHeight="false" outlineLevel="0" collapsed="false">
      <c r="A21" s="33" t="n">
        <v>7018</v>
      </c>
      <c r="B21" s="6" t="s">
        <v>629</v>
      </c>
      <c r="C21" s="8" t="s">
        <v>627</v>
      </c>
      <c r="D21" s="8" t="s">
        <v>609</v>
      </c>
      <c r="E21" s="6" t="s">
        <v>190</v>
      </c>
      <c r="F21" s="57"/>
      <c r="G21" s="6" t="s">
        <v>605</v>
      </c>
      <c r="H21" s="33" t="n">
        <v>0</v>
      </c>
    </row>
    <row r="22" customFormat="false" ht="15" hidden="false" customHeight="false" outlineLevel="0" collapsed="false">
      <c r="A22" s="33" t="n">
        <v>7019</v>
      </c>
      <c r="B22" s="6" t="s">
        <v>630</v>
      </c>
      <c r="C22" s="8" t="s">
        <v>627</v>
      </c>
      <c r="D22" s="8" t="s">
        <v>611</v>
      </c>
      <c r="E22" s="6" t="s">
        <v>190</v>
      </c>
      <c r="F22" s="57"/>
      <c r="G22" s="6" t="s">
        <v>605</v>
      </c>
      <c r="H22" s="33" t="n">
        <v>0</v>
      </c>
    </row>
    <row r="23" customFormat="false" ht="15" hidden="false" customHeight="false" outlineLevel="0" collapsed="false">
      <c r="A23" s="33" t="n">
        <v>7020</v>
      </c>
      <c r="B23" s="6" t="s">
        <v>631</v>
      </c>
      <c r="C23" s="8" t="s">
        <v>632</v>
      </c>
      <c r="D23" s="8" t="s">
        <v>603</v>
      </c>
      <c r="E23" s="6" t="s">
        <v>604</v>
      </c>
      <c r="F23" s="57"/>
      <c r="G23" s="6" t="s">
        <v>605</v>
      </c>
      <c r="H23" s="33" t="n">
        <v>0</v>
      </c>
    </row>
    <row r="24" customFormat="false" ht="15" hidden="false" customHeight="false" outlineLevel="0" collapsed="false">
      <c r="A24" s="33" t="n">
        <v>7021</v>
      </c>
      <c r="B24" s="6" t="s">
        <v>633</v>
      </c>
      <c r="C24" s="8" t="s">
        <v>632</v>
      </c>
      <c r="D24" s="8" t="s">
        <v>603</v>
      </c>
      <c r="E24" s="6" t="s">
        <v>607</v>
      </c>
      <c r="F24" s="17" t="n">
        <v>300</v>
      </c>
      <c r="G24" s="6" t="s">
        <v>605</v>
      </c>
      <c r="H24" s="33" t="n">
        <v>0</v>
      </c>
    </row>
    <row r="25" customFormat="false" ht="15" hidden="false" customHeight="false" outlineLevel="0" collapsed="false">
      <c r="A25" s="33" t="n">
        <v>7022</v>
      </c>
      <c r="B25" s="6" t="s">
        <v>634</v>
      </c>
      <c r="C25" s="8" t="s">
        <v>632</v>
      </c>
      <c r="D25" s="8" t="s">
        <v>609</v>
      </c>
      <c r="E25" s="6" t="s">
        <v>190</v>
      </c>
      <c r="F25" s="57"/>
      <c r="G25" s="6" t="s">
        <v>605</v>
      </c>
      <c r="H25" s="33" t="n">
        <v>0</v>
      </c>
    </row>
    <row r="26" customFormat="false" ht="15" hidden="false" customHeight="false" outlineLevel="0" collapsed="false">
      <c r="A26" s="33" t="n">
        <v>7023</v>
      </c>
      <c r="B26" s="6" t="s">
        <v>635</v>
      </c>
      <c r="C26" s="8" t="s">
        <v>632</v>
      </c>
      <c r="D26" s="8" t="s">
        <v>609</v>
      </c>
      <c r="E26" s="6" t="s">
        <v>190</v>
      </c>
      <c r="F26" s="57"/>
      <c r="G26" s="6" t="s">
        <v>605</v>
      </c>
      <c r="H26" s="33" t="n">
        <v>0</v>
      </c>
    </row>
    <row r="27" customFormat="false" ht="15" hidden="false" customHeight="false" outlineLevel="0" collapsed="false">
      <c r="A27" s="33" t="n">
        <v>7024</v>
      </c>
      <c r="B27" s="6" t="s">
        <v>636</v>
      </c>
      <c r="C27" s="8" t="s">
        <v>632</v>
      </c>
      <c r="D27" s="8" t="s">
        <v>613</v>
      </c>
      <c r="E27" s="6" t="s">
        <v>190</v>
      </c>
      <c r="F27" s="57"/>
      <c r="G27" s="6" t="s">
        <v>605</v>
      </c>
      <c r="H27" s="33" t="n">
        <v>0</v>
      </c>
    </row>
    <row r="28" customFormat="false" ht="15" hidden="false" customHeight="false" outlineLevel="0" collapsed="false">
      <c r="A28" s="33" t="n">
        <v>7025</v>
      </c>
      <c r="B28" s="6" t="s">
        <v>637</v>
      </c>
      <c r="C28" s="8" t="s">
        <v>638</v>
      </c>
      <c r="D28" s="8" t="s">
        <v>603</v>
      </c>
      <c r="E28" s="6" t="s">
        <v>604</v>
      </c>
      <c r="F28" s="57"/>
      <c r="G28" s="6" t="s">
        <v>605</v>
      </c>
      <c r="H28" s="33" t="n">
        <v>0</v>
      </c>
    </row>
    <row r="29" customFormat="false" ht="15" hidden="false" customHeight="false" outlineLevel="0" collapsed="false">
      <c r="A29" s="33" t="n">
        <v>7026</v>
      </c>
      <c r="B29" s="6" t="s">
        <v>639</v>
      </c>
      <c r="C29" s="8" t="s">
        <v>638</v>
      </c>
      <c r="D29" s="8" t="s">
        <v>603</v>
      </c>
      <c r="E29" s="6" t="s">
        <v>607</v>
      </c>
      <c r="F29" s="17" t="n">
        <v>200</v>
      </c>
      <c r="G29" s="6" t="s">
        <v>605</v>
      </c>
      <c r="H29" s="33" t="n">
        <v>0</v>
      </c>
    </row>
    <row r="30" customFormat="false" ht="15" hidden="false" customHeight="false" outlineLevel="0" collapsed="false">
      <c r="A30" s="33" t="n">
        <v>7027</v>
      </c>
      <c r="B30" s="6" t="s">
        <v>640</v>
      </c>
      <c r="C30" s="8" t="s">
        <v>638</v>
      </c>
      <c r="D30" s="8" t="s">
        <v>609</v>
      </c>
      <c r="E30" s="6" t="s">
        <v>190</v>
      </c>
      <c r="F30" s="57"/>
      <c r="G30" s="6" t="s">
        <v>605</v>
      </c>
      <c r="H30" s="33" t="n">
        <v>0</v>
      </c>
    </row>
    <row r="31" customFormat="false" ht="15" hidden="false" customHeight="false" outlineLevel="0" collapsed="false">
      <c r="A31" s="33" t="n">
        <v>7028</v>
      </c>
      <c r="B31" s="6" t="s">
        <v>641</v>
      </c>
      <c r="C31" s="8" t="s">
        <v>638</v>
      </c>
      <c r="D31" s="8" t="s">
        <v>609</v>
      </c>
      <c r="E31" s="6" t="s">
        <v>190</v>
      </c>
      <c r="F31" s="57"/>
      <c r="G31" s="6" t="s">
        <v>605</v>
      </c>
      <c r="H31" s="33" t="n">
        <v>0</v>
      </c>
    </row>
    <row r="32" customFormat="false" ht="15" hidden="false" customHeight="false" outlineLevel="0" collapsed="false">
      <c r="A32" s="33" t="n">
        <v>7029</v>
      </c>
      <c r="B32" s="6" t="s">
        <v>642</v>
      </c>
      <c r="C32" s="8" t="s">
        <v>638</v>
      </c>
      <c r="D32" s="8" t="s">
        <v>611</v>
      </c>
      <c r="E32" s="6" t="s">
        <v>190</v>
      </c>
      <c r="F32" s="57"/>
      <c r="G32" s="6" t="s">
        <v>605</v>
      </c>
      <c r="H32" s="33" t="n">
        <v>0</v>
      </c>
    </row>
    <row r="33" customFormat="false" ht="15" hidden="false" customHeight="false" outlineLevel="0" collapsed="false">
      <c r="A33" s="33" t="n">
        <v>7030</v>
      </c>
      <c r="B33" s="6" t="s">
        <v>643</v>
      </c>
      <c r="C33" s="8" t="s">
        <v>644</v>
      </c>
      <c r="D33" s="8" t="s">
        <v>613</v>
      </c>
      <c r="E33" s="6" t="s">
        <v>190</v>
      </c>
      <c r="F33" s="57"/>
      <c r="G33" s="6" t="s">
        <v>605</v>
      </c>
      <c r="H33" s="33" t="n">
        <v>0</v>
      </c>
    </row>
    <row r="34" customFormat="false" ht="15" hidden="false" customHeight="false" outlineLevel="0" collapsed="false">
      <c r="A34" s="33" t="n">
        <v>7101</v>
      </c>
      <c r="B34" s="6" t="s">
        <v>645</v>
      </c>
      <c r="C34" s="8" t="s">
        <v>644</v>
      </c>
      <c r="D34" s="8" t="s">
        <v>613</v>
      </c>
      <c r="E34" s="6" t="s">
        <v>190</v>
      </c>
      <c r="F34" s="57"/>
      <c r="G34" s="8" t="s">
        <v>646</v>
      </c>
      <c r="H34" s="33" t="n">
        <v>1</v>
      </c>
    </row>
    <row r="35" customFormat="false" ht="15" hidden="false" customHeight="false" outlineLevel="0" collapsed="false">
      <c r="A35" s="33" t="n">
        <v>7102</v>
      </c>
      <c r="B35" s="6" t="s">
        <v>647</v>
      </c>
      <c r="C35" s="8" t="s">
        <v>632</v>
      </c>
      <c r="D35" s="8" t="s">
        <v>613</v>
      </c>
      <c r="E35" s="6" t="s">
        <v>190</v>
      </c>
      <c r="F35" s="57"/>
      <c r="G35" s="8" t="s">
        <v>646</v>
      </c>
      <c r="H35" s="33" t="n">
        <v>1</v>
      </c>
    </row>
    <row r="36" customFormat="false" ht="15" hidden="false" customHeight="false" outlineLevel="0" collapsed="false">
      <c r="A36" s="33" t="n">
        <v>7103</v>
      </c>
      <c r="B36" s="6" t="s">
        <v>648</v>
      </c>
      <c r="C36" s="8" t="s">
        <v>638</v>
      </c>
      <c r="D36" s="8" t="s">
        <v>611</v>
      </c>
      <c r="E36" s="6" t="s">
        <v>190</v>
      </c>
      <c r="F36" s="57"/>
      <c r="G36" s="8" t="s">
        <v>646</v>
      </c>
      <c r="H36" s="33" t="n">
        <v>0</v>
      </c>
    </row>
    <row r="37" customFormat="false" ht="15" hidden="false" customHeight="false" outlineLevel="0" collapsed="false">
      <c r="A37" s="33" t="n">
        <v>7104</v>
      </c>
      <c r="B37" s="6" t="s">
        <v>649</v>
      </c>
      <c r="C37" s="8" t="s">
        <v>638</v>
      </c>
      <c r="D37" s="8" t="s">
        <v>611</v>
      </c>
      <c r="E37" s="6" t="s">
        <v>190</v>
      </c>
      <c r="F37" s="57"/>
      <c r="G37" s="8" t="s">
        <v>646</v>
      </c>
      <c r="H37" s="33" t="n">
        <v>0</v>
      </c>
    </row>
    <row r="38" customFormat="false" ht="15" hidden="false" customHeight="false" outlineLevel="0" collapsed="false">
      <c r="A38" s="33" t="n">
        <v>7105</v>
      </c>
      <c r="B38" s="6" t="s">
        <v>650</v>
      </c>
      <c r="C38" s="8" t="s">
        <v>627</v>
      </c>
      <c r="D38" s="8" t="s">
        <v>609</v>
      </c>
      <c r="E38" s="6" t="s">
        <v>190</v>
      </c>
      <c r="F38" s="57"/>
      <c r="G38" s="8" t="s">
        <v>646</v>
      </c>
      <c r="H38" s="33" t="n">
        <v>0</v>
      </c>
    </row>
    <row r="39" customFormat="false" ht="15" hidden="false" customHeight="false" outlineLevel="0" collapsed="false">
      <c r="A39" s="33" t="n">
        <v>7106</v>
      </c>
      <c r="B39" s="6" t="s">
        <v>651</v>
      </c>
      <c r="C39" s="8" t="s">
        <v>602</v>
      </c>
      <c r="D39" s="8" t="s">
        <v>609</v>
      </c>
      <c r="E39" s="6" t="s">
        <v>190</v>
      </c>
      <c r="F39" s="57"/>
      <c r="G39" s="8" t="s">
        <v>646</v>
      </c>
      <c r="H39" s="33" t="n">
        <v>0</v>
      </c>
    </row>
  </sheetData>
  <autoFilter ref="A3:H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4" t="s">
        <v>213</v>
      </c>
      <c r="B1" s="44" t="s">
        <v>214</v>
      </c>
      <c r="C1" s="44" t="s">
        <v>215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</row>
    <row r="3" customFormat="false" ht="27.75" hidden="false" customHeight="true" outlineLevel="0" collapsed="false">
      <c r="A3" s="46" t="s">
        <v>217</v>
      </c>
      <c r="B3" s="47" t="s">
        <v>118</v>
      </c>
      <c r="C3" s="47" t="s">
        <v>218</v>
      </c>
    </row>
    <row r="4" customFormat="false" ht="15" hidden="false" customHeight="false" outlineLevel="0" collapsed="false">
      <c r="A4" s="8" t="s">
        <v>652</v>
      </c>
      <c r="B4" s="64" t="n">
        <v>0.01</v>
      </c>
      <c r="C4" s="8" t="s">
        <v>653</v>
      </c>
    </row>
    <row r="5" customFormat="false" ht="15" hidden="false" customHeight="false" outlineLevel="0" collapsed="false">
      <c r="A5" s="8" t="s">
        <v>654</v>
      </c>
      <c r="B5" s="64" t="n">
        <v>0.06</v>
      </c>
      <c r="C5" s="8" t="s">
        <v>655</v>
      </c>
    </row>
    <row r="6" customFormat="false" ht="15" hidden="false" customHeight="false" outlineLevel="0" collapsed="false">
      <c r="A6" s="8" t="s">
        <v>656</v>
      </c>
      <c r="B6" s="64" t="n">
        <v>0.28</v>
      </c>
      <c r="C6" s="8" t="s">
        <v>657</v>
      </c>
    </row>
    <row r="7" customFormat="false" ht="15" hidden="false" customHeight="false" outlineLevel="0" collapsed="false">
      <c r="A7" s="8" t="s">
        <v>658</v>
      </c>
      <c r="B7" s="64" t="n">
        <v>0.65</v>
      </c>
      <c r="C7" s="8" t="s">
        <v>659</v>
      </c>
    </row>
    <row r="8" customFormat="false" ht="15" hidden="false" customHeight="false" outlineLevel="0" collapsed="false">
      <c r="A8" s="8" t="s">
        <v>660</v>
      </c>
      <c r="B8" s="48" t="n">
        <v>40</v>
      </c>
      <c r="C8" s="8" t="s">
        <v>661</v>
      </c>
    </row>
    <row r="9" customFormat="false" ht="15" hidden="false" customHeight="false" outlineLevel="0" collapsed="false">
      <c r="A9" s="8" t="s">
        <v>662</v>
      </c>
      <c r="B9" s="64" t="n">
        <v>0.04</v>
      </c>
      <c r="C9" s="8" t="s">
        <v>663</v>
      </c>
    </row>
    <row r="10" customFormat="false" ht="15" hidden="false" customHeight="false" outlineLevel="0" collapsed="false">
      <c r="A10" s="8" t="s">
        <v>664</v>
      </c>
      <c r="B10" s="48" t="n">
        <v>60</v>
      </c>
      <c r="C10" s="8" t="s">
        <v>665</v>
      </c>
    </row>
    <row r="11" customFormat="false" ht="15" hidden="false" customHeight="false" outlineLevel="0" collapsed="false">
      <c r="A11" s="8" t="s">
        <v>666</v>
      </c>
      <c r="B11" s="48" t="n">
        <v>10</v>
      </c>
      <c r="C11" s="6" t="s">
        <v>667</v>
      </c>
    </row>
    <row r="12" customFormat="false" ht="15" hidden="false" customHeight="false" outlineLevel="0" collapsed="false">
      <c r="A12" s="8" t="s">
        <v>668</v>
      </c>
      <c r="B12" s="50" t="n">
        <v>0.5</v>
      </c>
      <c r="C12" s="6" t="s">
        <v>669</v>
      </c>
    </row>
    <row r="13" customFormat="false" ht="15" hidden="false" customHeight="false" outlineLevel="0" collapsed="false">
      <c r="A13" s="8" t="s">
        <v>670</v>
      </c>
      <c r="B13" s="48" t="n">
        <v>1</v>
      </c>
      <c r="C13" s="6" t="s">
        <v>671</v>
      </c>
    </row>
    <row r="14" customFormat="false" ht="15" hidden="false" customHeight="false" outlineLevel="0" collapsed="false">
      <c r="A14" s="8" t="s">
        <v>672</v>
      </c>
      <c r="B14" s="48" t="n">
        <v>1</v>
      </c>
      <c r="C14" s="6" t="s">
        <v>673</v>
      </c>
    </row>
    <row r="15" customFormat="false" ht="15" hidden="false" customHeight="false" outlineLevel="0" collapsed="false">
      <c r="A15" s="8" t="s">
        <v>674</v>
      </c>
      <c r="B15" s="48" t="n">
        <v>160</v>
      </c>
      <c r="C15" s="6" t="s">
        <v>675</v>
      </c>
    </row>
    <row r="16" customFormat="false" ht="15" hidden="false" customHeight="false" outlineLevel="0" collapsed="false">
      <c r="A16" s="8" t="s">
        <v>676</v>
      </c>
      <c r="B16" s="48" t="n">
        <v>1</v>
      </c>
      <c r="C16" s="6" t="s">
        <v>677</v>
      </c>
    </row>
    <row r="17" customFormat="false" ht="15" hidden="false" customHeight="false" outlineLevel="0" collapsed="false">
      <c r="A17" s="8" t="s">
        <v>678</v>
      </c>
      <c r="B17" s="48" t="n">
        <v>5</v>
      </c>
      <c r="C17" s="6" t="s">
        <v>679</v>
      </c>
    </row>
    <row r="18" customFormat="false" ht="15" hidden="false" customHeight="false" outlineLevel="0" collapsed="false">
      <c r="A18" s="8" t="s">
        <v>680</v>
      </c>
      <c r="B18" s="48" t="n">
        <v>20</v>
      </c>
      <c r="C18" s="6" t="s">
        <v>681</v>
      </c>
    </row>
    <row r="19" customFormat="false" ht="15" hidden="false" customHeight="false" outlineLevel="0" collapsed="false">
      <c r="A19" s="8" t="s">
        <v>682</v>
      </c>
      <c r="B19" s="48" t="n">
        <v>50</v>
      </c>
      <c r="C19" s="6" t="s">
        <v>683</v>
      </c>
    </row>
    <row r="20" customFormat="false" ht="15" hidden="false" customHeight="false" outlineLevel="0" collapsed="false">
      <c r="A20" s="8" t="s">
        <v>684</v>
      </c>
      <c r="B20" s="48" t="n">
        <v>100</v>
      </c>
      <c r="C20" s="6" t="s">
        <v>685</v>
      </c>
    </row>
    <row r="21" customFormat="false" ht="15" hidden="false" customHeight="false" outlineLevel="0" collapsed="false">
      <c r="A21" s="8" t="s">
        <v>686</v>
      </c>
      <c r="B21" s="49" t="s">
        <v>687</v>
      </c>
      <c r="C21" s="6" t="s">
        <v>688</v>
      </c>
    </row>
  </sheetData>
  <autoFilter ref="A3:C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44" t="s">
        <v>689</v>
      </c>
      <c r="B1" s="44" t="s">
        <v>263</v>
      </c>
      <c r="C1" s="44" t="s">
        <v>264</v>
      </c>
      <c r="D1" s="44" t="s">
        <v>690</v>
      </c>
      <c r="E1" s="44" t="s">
        <v>691</v>
      </c>
      <c r="F1" s="44" t="s">
        <v>692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  <c r="D2" s="45" t="s">
        <v>216</v>
      </c>
      <c r="E2" s="45" t="s">
        <v>216</v>
      </c>
      <c r="F2" s="45" t="s">
        <v>269</v>
      </c>
    </row>
    <row r="3" customFormat="false" ht="27.75" hidden="false" customHeight="true" outlineLevel="0" collapsed="false">
      <c r="A3" s="47" t="s">
        <v>693</v>
      </c>
      <c r="B3" s="47" t="s">
        <v>130</v>
      </c>
      <c r="C3" s="47" t="s">
        <v>4</v>
      </c>
      <c r="D3" s="47" t="s">
        <v>694</v>
      </c>
      <c r="E3" s="46" t="s">
        <v>695</v>
      </c>
      <c r="F3" s="47" t="s">
        <v>696</v>
      </c>
    </row>
    <row r="4" customFormat="false" ht="15" hidden="false" customHeight="false" outlineLevel="0" collapsed="false">
      <c r="A4" s="8" t="s">
        <v>697</v>
      </c>
      <c r="B4" s="6" t="s">
        <v>698</v>
      </c>
      <c r="C4" s="6" t="s">
        <v>605</v>
      </c>
      <c r="D4" s="6"/>
      <c r="E4" s="6"/>
      <c r="F4" s="33" t="n">
        <v>0</v>
      </c>
    </row>
    <row r="5" customFormat="false" ht="15" hidden="false" customHeight="false" outlineLevel="0" collapsed="false">
      <c r="A5" s="8" t="s">
        <v>646</v>
      </c>
      <c r="B5" s="6" t="s">
        <v>699</v>
      </c>
      <c r="C5" s="6" t="s">
        <v>700</v>
      </c>
      <c r="D5" s="8" t="s">
        <v>701</v>
      </c>
      <c r="E5" s="8" t="s">
        <v>702</v>
      </c>
      <c r="F5" s="33" t="n">
        <v>1</v>
      </c>
    </row>
  </sheetData>
  <autoFilter ref="A3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44" t="s">
        <v>689</v>
      </c>
      <c r="B1" s="44" t="s">
        <v>591</v>
      </c>
      <c r="C1" s="44" t="s">
        <v>401</v>
      </c>
      <c r="D1" s="44" t="s">
        <v>703</v>
      </c>
      <c r="E1" s="44" t="s">
        <v>594</v>
      </c>
      <c r="F1" s="51" t="s">
        <v>704</v>
      </c>
      <c r="G1" s="51" t="s">
        <v>705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269</v>
      </c>
      <c r="D2" s="45" t="s">
        <v>269</v>
      </c>
      <c r="E2" s="45" t="s">
        <v>269</v>
      </c>
      <c r="F2" s="52" t="s">
        <v>377</v>
      </c>
      <c r="G2" s="52" t="s">
        <v>377</v>
      </c>
    </row>
    <row r="3" customFormat="false" ht="27.75" hidden="false" customHeight="true" outlineLevel="0" collapsed="false">
      <c r="A3" s="47" t="s">
        <v>693</v>
      </c>
      <c r="B3" s="47" t="s">
        <v>597</v>
      </c>
      <c r="C3" s="47" t="s">
        <v>595</v>
      </c>
      <c r="D3" s="47" t="s">
        <v>706</v>
      </c>
      <c r="E3" s="46" t="s">
        <v>707</v>
      </c>
      <c r="F3" s="53" t="s">
        <v>708</v>
      </c>
      <c r="G3" s="53" t="s">
        <v>709</v>
      </c>
    </row>
    <row r="4" customFormat="false" ht="15" hidden="false" customHeight="false" outlineLevel="0" collapsed="false">
      <c r="A4" s="8" t="s">
        <v>697</v>
      </c>
      <c r="B4" s="8" t="s">
        <v>613</v>
      </c>
      <c r="C4" s="33" t="n">
        <v>7005</v>
      </c>
      <c r="D4" s="33" t="n">
        <v>1</v>
      </c>
      <c r="E4" s="33" t="n">
        <v>0</v>
      </c>
      <c r="F4" s="65" t="n">
        <f aca="false">D4/SUMIFS($D$4:$D$57,$A$4:$A$57,A4,$B$4:$B$57,B4,$E$4:$E$57,E4)</f>
        <v>0.333333333333333</v>
      </c>
      <c r="G4" s="66" t="str">
        <f aca="false">INDEX(AvatarItem!$B$4:$B$39,MATCH(C4,AvatarItem!$A$4:$A$39,0))</f>
        <v>星光长发</v>
      </c>
    </row>
    <row r="5" customFormat="false" ht="15" hidden="false" customHeight="false" outlineLevel="0" collapsed="false">
      <c r="A5" s="8" t="s">
        <v>697</v>
      </c>
      <c r="B5" s="8" t="s">
        <v>613</v>
      </c>
      <c r="C5" s="33" t="n">
        <v>7024</v>
      </c>
      <c r="D5" s="33" t="n">
        <v>1</v>
      </c>
      <c r="E5" s="33" t="n">
        <v>0</v>
      </c>
      <c r="F5" s="65" t="n">
        <f aca="false">D5/SUMIFS($D$4:$D$57,$A$4:$A$57,A5,$B$4:$B$57,B5,$E$4:$E$57,E5)</f>
        <v>0.333333333333333</v>
      </c>
      <c r="G5" s="66" t="str">
        <f aca="false">INDEX(AvatarItem!$B$4:$B$39,MATCH(C5,AvatarItem!$A$4:$A$39,0))</f>
        <v>月光皇冠</v>
      </c>
    </row>
    <row r="6" customFormat="false" ht="15" hidden="false" customHeight="false" outlineLevel="0" collapsed="false">
      <c r="A6" s="8" t="s">
        <v>697</v>
      </c>
      <c r="B6" s="8" t="s">
        <v>613</v>
      </c>
      <c r="C6" s="33" t="n">
        <v>7030</v>
      </c>
      <c r="D6" s="33" t="n">
        <v>1</v>
      </c>
      <c r="E6" s="33" t="n">
        <v>0</v>
      </c>
      <c r="F6" s="65" t="n">
        <f aca="false">D6/SUMIFS($D$4:$D$57,$A$4:$A$57,A6,$B$4:$B$57,B6,$E$4:$E$57,E6)</f>
        <v>0.333333333333333</v>
      </c>
      <c r="G6" s="66" t="str">
        <f aca="false">INDEX(AvatarItem!$B$4:$B$39,MATCH(C6,AvatarItem!$A$4:$A$39,0))</f>
        <v>星河长裙</v>
      </c>
    </row>
    <row r="7" customFormat="false" ht="15" hidden="false" customHeight="false" outlineLevel="0" collapsed="false">
      <c r="A7" s="8" t="s">
        <v>697</v>
      </c>
      <c r="B7" s="8" t="s">
        <v>611</v>
      </c>
      <c r="C7" s="33" t="n">
        <v>7004</v>
      </c>
      <c r="D7" s="33" t="n">
        <v>1</v>
      </c>
      <c r="E7" s="33" t="n">
        <v>0</v>
      </c>
      <c r="F7" s="65" t="n">
        <f aca="false">D7/SUMIFS($D$4:$D$57,$A$4:$A$57,A7,$B$4:$B$57,B7,$E$4:$E$57,E7)</f>
        <v>0.2</v>
      </c>
      <c r="G7" s="66" t="str">
        <f aca="false">INDEX(AvatarItem!$B$4:$B$39,MATCH(C7,AvatarItem!$A$4:$A$39,0))</f>
        <v>长发·樱粉</v>
      </c>
    </row>
    <row r="8" customFormat="false" ht="15" hidden="false" customHeight="false" outlineLevel="0" collapsed="false">
      <c r="A8" s="8" t="s">
        <v>697</v>
      </c>
      <c r="B8" s="8" t="s">
        <v>611</v>
      </c>
      <c r="C8" s="33" t="n">
        <v>7010</v>
      </c>
      <c r="D8" s="33" t="n">
        <v>1</v>
      </c>
      <c r="E8" s="33" t="n">
        <v>0</v>
      </c>
      <c r="F8" s="65" t="n">
        <f aca="false">D8/SUMIFS($D$4:$D$57,$A$4:$A$57,A8,$B$4:$B$57,B8,$E$4:$E$57,E8)</f>
        <v>0.2</v>
      </c>
      <c r="G8" s="66" t="str">
        <f aca="false">INDEX(AvatarItem!$B$4:$B$39,MATCH(C8,AvatarItem!$A$4:$A$39,0))</f>
        <v>刺绣衬衫</v>
      </c>
    </row>
    <row r="9" customFormat="false" ht="15" hidden="false" customHeight="false" outlineLevel="0" collapsed="false">
      <c r="A9" s="8" t="s">
        <v>697</v>
      </c>
      <c r="B9" s="8" t="s">
        <v>611</v>
      </c>
      <c r="C9" s="33" t="n">
        <v>7015</v>
      </c>
      <c r="D9" s="33" t="n">
        <v>1</v>
      </c>
      <c r="E9" s="33" t="n">
        <v>0</v>
      </c>
      <c r="F9" s="65" t="n">
        <f aca="false">D9/SUMIFS($D$4:$D$57,$A$4:$A$57,A9,$B$4:$B$57,B9,$E$4:$E$57,E9)</f>
        <v>0.2</v>
      </c>
      <c r="G9" s="66" t="str">
        <f aca="false">INDEX(AvatarItem!$B$4:$B$39,MATCH(C9,AvatarItem!$A$4:$A$39,0))</f>
        <v>灯笼裤</v>
      </c>
    </row>
    <row r="10" customFormat="false" ht="15" hidden="false" customHeight="false" outlineLevel="0" collapsed="false">
      <c r="A10" s="8" t="s">
        <v>697</v>
      </c>
      <c r="B10" s="8" t="s">
        <v>611</v>
      </c>
      <c r="C10" s="33" t="n">
        <v>7019</v>
      </c>
      <c r="D10" s="33" t="n">
        <v>1</v>
      </c>
      <c r="E10" s="33" t="n">
        <v>0</v>
      </c>
      <c r="F10" s="65" t="n">
        <f aca="false">D10/SUMIFS($D$4:$D$57,$A$4:$A$57,A10,$B$4:$B$57,B10,$E$4:$E$57,E10)</f>
        <v>0.2</v>
      </c>
      <c r="G10" s="66" t="str">
        <f aca="false">INDEX(AvatarItem!$B$4:$B$39,MATCH(C10,AvatarItem!$A$4:$A$39,0))</f>
        <v>云朵运动鞋</v>
      </c>
    </row>
    <row r="11" customFormat="false" ht="15" hidden="false" customHeight="false" outlineLevel="0" collapsed="false">
      <c r="A11" s="8" t="s">
        <v>697</v>
      </c>
      <c r="B11" s="8" t="s">
        <v>611</v>
      </c>
      <c r="C11" s="33" t="n">
        <v>7029</v>
      </c>
      <c r="D11" s="33" t="n">
        <v>1</v>
      </c>
      <c r="E11" s="33" t="n">
        <v>0</v>
      </c>
      <c r="F11" s="65" t="n">
        <f aca="false">D11/SUMIFS($D$4:$D$57,$A$4:$A$57,A11,$B$4:$B$57,B11,$E$4:$E$57,E11)</f>
        <v>0.2</v>
      </c>
      <c r="G11" s="66" t="str">
        <f aca="false">INDEX(AvatarItem!$B$4:$B$39,MATCH(C11,AvatarItem!$A$4:$A$39,0))</f>
        <v>云朵翅膀</v>
      </c>
    </row>
    <row r="12" customFormat="false" ht="15" hidden="false" customHeight="false" outlineLevel="0" collapsed="false">
      <c r="A12" s="8" t="s">
        <v>697</v>
      </c>
      <c r="B12" s="8" t="s">
        <v>609</v>
      </c>
      <c r="C12" s="33" t="n">
        <v>7003</v>
      </c>
      <c r="D12" s="33" t="n">
        <v>1</v>
      </c>
      <c r="E12" s="33" t="n">
        <v>0</v>
      </c>
      <c r="F12" s="65" t="n">
        <f aca="false">D12/SUMIFS($D$4:$D$57,$A$4:$A$57,A12,$B$4:$B$57,B12,$E$4:$E$57,E12)</f>
        <v>0.1</v>
      </c>
      <c r="G12" s="66" t="str">
        <f aca="false">INDEX(AvatarItem!$B$4:$B$39,MATCH(C12,AvatarItem!$A$4:$A$39,0))</f>
        <v>卷发·栗</v>
      </c>
    </row>
    <row r="13" customFormat="false" ht="15" hidden="false" customHeight="false" outlineLevel="0" collapsed="false">
      <c r="A13" s="8" t="s">
        <v>697</v>
      </c>
      <c r="B13" s="8" t="s">
        <v>609</v>
      </c>
      <c r="C13" s="33" t="n">
        <v>7008</v>
      </c>
      <c r="D13" s="33" t="n">
        <v>1</v>
      </c>
      <c r="E13" s="33" t="n">
        <v>0</v>
      </c>
      <c r="F13" s="65" t="n">
        <f aca="false">D13/SUMIFS($D$4:$D$57,$A$4:$A$57,A13,$B$4:$B$57,B13,$E$4:$E$57,E13)</f>
        <v>0.1</v>
      </c>
      <c r="G13" s="66" t="str">
        <f aca="false">INDEX(AvatarItem!$B$4:$B$39,MATCH(C13,AvatarItem!$A$4:$A$39,0))</f>
        <v>针织背心</v>
      </c>
    </row>
    <row r="14" customFormat="false" ht="15" hidden="false" customHeight="false" outlineLevel="0" collapsed="false">
      <c r="A14" s="8" t="s">
        <v>697</v>
      </c>
      <c r="B14" s="8" t="s">
        <v>609</v>
      </c>
      <c r="C14" s="33" t="n">
        <v>7009</v>
      </c>
      <c r="D14" s="33" t="n">
        <v>1</v>
      </c>
      <c r="E14" s="33" t="n">
        <v>0</v>
      </c>
      <c r="F14" s="65" t="n">
        <f aca="false">D14/SUMIFS($D$4:$D$57,$A$4:$A$57,A14,$B$4:$B$57,B14,$E$4:$E$57,E14)</f>
        <v>0.1</v>
      </c>
      <c r="G14" s="66" t="str">
        <f aca="false">INDEX(AvatarItem!$B$4:$B$39,MATCH(C14,AvatarItem!$A$4:$A$39,0))</f>
        <v>工装外套</v>
      </c>
    </row>
    <row r="15" customFormat="false" ht="15" hidden="false" customHeight="false" outlineLevel="0" collapsed="false">
      <c r="A15" s="8" t="s">
        <v>697</v>
      </c>
      <c r="B15" s="8" t="s">
        <v>609</v>
      </c>
      <c r="C15" s="33" t="n">
        <v>7013</v>
      </c>
      <c r="D15" s="33" t="n">
        <v>1</v>
      </c>
      <c r="E15" s="33" t="n">
        <v>0</v>
      </c>
      <c r="F15" s="65" t="n">
        <f aca="false">D15/SUMIFS($D$4:$D$57,$A$4:$A$57,A15,$B$4:$B$57,B15,$E$4:$E$57,E15)</f>
        <v>0.1</v>
      </c>
      <c r="G15" s="66" t="str">
        <f aca="false">INDEX(AvatarItem!$B$4:$B$39,MATCH(C15,AvatarItem!$A$4:$A$39,0))</f>
        <v>工装长裤</v>
      </c>
    </row>
    <row r="16" customFormat="false" ht="15" hidden="false" customHeight="false" outlineLevel="0" collapsed="false">
      <c r="A16" s="8" t="s">
        <v>697</v>
      </c>
      <c r="B16" s="8" t="s">
        <v>609</v>
      </c>
      <c r="C16" s="33" t="n">
        <v>7014</v>
      </c>
      <c r="D16" s="33" t="n">
        <v>1</v>
      </c>
      <c r="E16" s="33" t="n">
        <v>0</v>
      </c>
      <c r="F16" s="65" t="n">
        <f aca="false">D16/SUMIFS($D$4:$D$57,$A$4:$A$57,A16,$B$4:$B$57,B16,$E$4:$E$57,E16)</f>
        <v>0.1</v>
      </c>
      <c r="G16" s="66" t="str">
        <f aca="false">INDEX(AvatarItem!$B$4:$B$39,MATCH(C16,AvatarItem!$A$4:$A$39,0))</f>
        <v>百褶裙</v>
      </c>
    </row>
    <row r="17" customFormat="false" ht="15" hidden="false" customHeight="false" outlineLevel="0" collapsed="false">
      <c r="A17" s="8" t="s">
        <v>697</v>
      </c>
      <c r="B17" s="8" t="s">
        <v>609</v>
      </c>
      <c r="C17" s="33" t="n">
        <v>7018</v>
      </c>
      <c r="D17" s="33" t="n">
        <v>1</v>
      </c>
      <c r="E17" s="33" t="n">
        <v>0</v>
      </c>
      <c r="F17" s="65" t="n">
        <f aca="false">D17/SUMIFS($D$4:$D$57,$A$4:$A$57,A17,$B$4:$B$57,B17,$E$4:$E$57,E17)</f>
        <v>0.1</v>
      </c>
      <c r="G17" s="66" t="str">
        <f aca="false">INDEX(AvatarItem!$B$4:$B$39,MATCH(C17,AvatarItem!$A$4:$A$39,0))</f>
        <v>绒毛靴</v>
      </c>
    </row>
    <row r="18" customFormat="false" ht="15" hidden="false" customHeight="false" outlineLevel="0" collapsed="false">
      <c r="A18" s="8" t="s">
        <v>697</v>
      </c>
      <c r="B18" s="8" t="s">
        <v>609</v>
      </c>
      <c r="C18" s="33" t="n">
        <v>7022</v>
      </c>
      <c r="D18" s="33" t="n">
        <v>1</v>
      </c>
      <c r="E18" s="33" t="n">
        <v>0</v>
      </c>
      <c r="F18" s="65" t="n">
        <f aca="false">D18/SUMIFS($D$4:$D$57,$A$4:$A$57,A18,$B$4:$B$57,B18,$E$4:$E$57,E18)</f>
        <v>0.1</v>
      </c>
      <c r="G18" s="66" t="str">
        <f aca="false">INDEX(AvatarItem!$B$4:$B$39,MATCH(C18,AvatarItem!$A$4:$A$39,0))</f>
        <v>渔夫帽</v>
      </c>
    </row>
    <row r="19" customFormat="false" ht="15" hidden="false" customHeight="false" outlineLevel="0" collapsed="false">
      <c r="A19" s="8" t="s">
        <v>697</v>
      </c>
      <c r="B19" s="8" t="s">
        <v>609</v>
      </c>
      <c r="C19" s="33" t="n">
        <v>7023</v>
      </c>
      <c r="D19" s="33" t="n">
        <v>1</v>
      </c>
      <c r="E19" s="33" t="n">
        <v>0</v>
      </c>
      <c r="F19" s="65" t="n">
        <f aca="false">D19/SUMIFS($D$4:$D$57,$A$4:$A$57,A19,$B$4:$B$57,B19,$E$4:$E$57,E19)</f>
        <v>0.1</v>
      </c>
      <c r="G19" s="66" t="str">
        <f aca="false">INDEX(AvatarItem!$B$4:$B$39,MATCH(C19,AvatarItem!$A$4:$A$39,0))</f>
        <v>兔耳发箍</v>
      </c>
    </row>
    <row r="20" customFormat="false" ht="15" hidden="false" customHeight="false" outlineLevel="0" collapsed="false">
      <c r="A20" s="8" t="s">
        <v>697</v>
      </c>
      <c r="B20" s="8" t="s">
        <v>609</v>
      </c>
      <c r="C20" s="33" t="n">
        <v>7027</v>
      </c>
      <c r="D20" s="33" t="n">
        <v>1</v>
      </c>
      <c r="E20" s="33" t="n">
        <v>0</v>
      </c>
      <c r="F20" s="65" t="n">
        <f aca="false">D20/SUMIFS($D$4:$D$57,$A$4:$A$57,A20,$B$4:$B$57,B20,$E$4:$E$57,E20)</f>
        <v>0.1</v>
      </c>
      <c r="G20" s="66" t="str">
        <f aca="false">INDEX(AvatarItem!$B$4:$B$39,MATCH(C20,AvatarItem!$A$4:$A$39,0))</f>
        <v>小背包</v>
      </c>
    </row>
    <row r="21" customFormat="false" ht="15" hidden="false" customHeight="false" outlineLevel="0" collapsed="false">
      <c r="A21" s="8" t="s">
        <v>697</v>
      </c>
      <c r="B21" s="8" t="s">
        <v>609</v>
      </c>
      <c r="C21" s="33" t="n">
        <v>7028</v>
      </c>
      <c r="D21" s="33" t="n">
        <v>1</v>
      </c>
      <c r="E21" s="33" t="n">
        <v>0</v>
      </c>
      <c r="F21" s="65" t="n">
        <f aca="false">D21/SUMIFS($D$4:$D$57,$A$4:$A$57,A21,$B$4:$B$57,B21,$E$4:$E$57,E21)</f>
        <v>0.1</v>
      </c>
      <c r="G21" s="66" t="str">
        <f aca="false">INDEX(AvatarItem!$B$4:$B$39,MATCH(C21,AvatarItem!$A$4:$A$39,0))</f>
        <v>蝴蝶结</v>
      </c>
    </row>
    <row r="22" customFormat="false" ht="15" hidden="false" customHeight="false" outlineLevel="0" collapsed="false">
      <c r="A22" s="8" t="s">
        <v>697</v>
      </c>
      <c r="B22" s="8" t="s">
        <v>603</v>
      </c>
      <c r="C22" s="33" t="n">
        <v>7002</v>
      </c>
      <c r="D22" s="33" t="n">
        <v>1</v>
      </c>
      <c r="E22" s="33" t="n">
        <v>0</v>
      </c>
      <c r="F22" s="65" t="n">
        <f aca="false">D22/SUMIFS($D$4:$D$57,$A$4:$A$57,A22,$B$4:$B$57,B22,$E$4:$E$57,E22)</f>
        <v>0.166666666666667</v>
      </c>
      <c r="G22" s="66" t="str">
        <f aca="false">INDEX(AvatarItem!$B$4:$B$39,MATCH(C22,AvatarItem!$A$4:$A$39,0))</f>
        <v>双马尾·棕</v>
      </c>
    </row>
    <row r="23" customFormat="false" ht="15" hidden="false" customHeight="false" outlineLevel="0" collapsed="false">
      <c r="A23" s="8" t="s">
        <v>697</v>
      </c>
      <c r="B23" s="8" t="s">
        <v>603</v>
      </c>
      <c r="C23" s="33" t="n">
        <v>7007</v>
      </c>
      <c r="D23" s="33" t="n">
        <v>1</v>
      </c>
      <c r="E23" s="33" t="n">
        <v>0</v>
      </c>
      <c r="F23" s="65" t="n">
        <f aca="false">D23/SUMIFS($D$4:$D$57,$A$4:$A$57,A23,$B$4:$B$57,B23,$E$4:$E$57,E23)</f>
        <v>0.166666666666667</v>
      </c>
      <c r="G23" s="66" t="str">
        <f aca="false">INDEX(AvatarItem!$B$4:$B$39,MATCH(C23,AvatarItem!$A$4:$A$39,0))</f>
        <v>条纹衫</v>
      </c>
    </row>
    <row r="24" customFormat="false" ht="15" hidden="false" customHeight="false" outlineLevel="0" collapsed="false">
      <c r="A24" s="8" t="s">
        <v>697</v>
      </c>
      <c r="B24" s="8" t="s">
        <v>603</v>
      </c>
      <c r="C24" s="33" t="n">
        <v>7012</v>
      </c>
      <c r="D24" s="33" t="n">
        <v>1</v>
      </c>
      <c r="E24" s="33" t="n">
        <v>0</v>
      </c>
      <c r="F24" s="65" t="n">
        <f aca="false">D24/SUMIFS($D$4:$D$57,$A$4:$A$57,A24,$B$4:$B$57,B24,$E$4:$E$57,E24)</f>
        <v>0.166666666666667</v>
      </c>
      <c r="G24" s="66" t="str">
        <f aca="false">INDEX(AvatarItem!$B$4:$B$39,MATCH(C24,AvatarItem!$A$4:$A$39,0))</f>
        <v>格子裙</v>
      </c>
    </row>
    <row r="25" customFormat="false" ht="15" hidden="false" customHeight="false" outlineLevel="0" collapsed="false">
      <c r="A25" s="8" t="s">
        <v>697</v>
      </c>
      <c r="B25" s="8" t="s">
        <v>603</v>
      </c>
      <c r="C25" s="33" t="n">
        <v>7017</v>
      </c>
      <c r="D25" s="33" t="n">
        <v>1</v>
      </c>
      <c r="E25" s="33" t="n">
        <v>0</v>
      </c>
      <c r="F25" s="65" t="n">
        <f aca="false">D25/SUMIFS($D$4:$D$57,$A$4:$A$57,A25,$B$4:$B$57,B25,$E$4:$E$57,E25)</f>
        <v>0.166666666666667</v>
      </c>
      <c r="G25" s="66" t="str">
        <f aca="false">INDEX(AvatarItem!$B$4:$B$39,MATCH(C25,AvatarItem!$A$4:$A$39,0))</f>
        <v>小皮靴</v>
      </c>
    </row>
    <row r="26" customFormat="false" ht="15" hidden="false" customHeight="false" outlineLevel="0" collapsed="false">
      <c r="A26" s="8" t="s">
        <v>697</v>
      </c>
      <c r="B26" s="8" t="s">
        <v>603</v>
      </c>
      <c r="C26" s="33" t="n">
        <v>7021</v>
      </c>
      <c r="D26" s="33" t="n">
        <v>1</v>
      </c>
      <c r="E26" s="33" t="n">
        <v>0</v>
      </c>
      <c r="F26" s="65" t="n">
        <f aca="false">D26/SUMIFS($D$4:$D$57,$A$4:$A$57,A26,$B$4:$B$57,B26,$E$4:$E$57,E26)</f>
        <v>0.166666666666667</v>
      </c>
      <c r="G26" s="66" t="str">
        <f aca="false">INDEX(AvatarItem!$B$4:$B$39,MATCH(C26,AvatarItem!$A$4:$A$39,0))</f>
        <v>贝雷帽</v>
      </c>
    </row>
    <row r="27" customFormat="false" ht="15" hidden="false" customHeight="false" outlineLevel="0" collapsed="false">
      <c r="A27" s="8" t="s">
        <v>697</v>
      </c>
      <c r="B27" s="8" t="s">
        <v>603</v>
      </c>
      <c r="C27" s="33" t="n">
        <v>7026</v>
      </c>
      <c r="D27" s="33" t="n">
        <v>1</v>
      </c>
      <c r="E27" s="33" t="n">
        <v>0</v>
      </c>
      <c r="F27" s="65" t="n">
        <f aca="false">D27/SUMIFS($D$4:$D$57,$A$4:$A$57,A27,$B$4:$B$57,B27,$E$4:$E$57,E27)</f>
        <v>0.166666666666667</v>
      </c>
      <c r="G27" s="66" t="str">
        <f aca="false">INDEX(AvatarItem!$B$4:$B$39,MATCH(C27,AvatarItem!$A$4:$A$39,0))</f>
        <v>圆框眼镜</v>
      </c>
    </row>
    <row r="28" customFormat="false" ht="15" hidden="false" customHeight="false" outlineLevel="0" collapsed="false">
      <c r="A28" s="8" t="s">
        <v>646</v>
      </c>
      <c r="B28" s="8" t="s">
        <v>613</v>
      </c>
      <c r="C28" s="33" t="n">
        <v>7101</v>
      </c>
      <c r="D28" s="33" t="n">
        <v>1</v>
      </c>
      <c r="E28" s="33" t="n">
        <v>1</v>
      </c>
      <c r="F28" s="65" t="n">
        <f aca="false">D28/SUMIFS($D$4:$D$57,$A$4:$A$57,A28,$B$4:$B$57,B28,$E$4:$E$57,E28)</f>
        <v>0.5</v>
      </c>
      <c r="G28" s="66" t="str">
        <f aca="false">INDEX(AvatarItem!$B$4:$B$39,MATCH(C28,AvatarItem!$A$4:$A$39,0))</f>
        <v>春日野餐·连衣裙</v>
      </c>
    </row>
    <row r="29" customFormat="false" ht="15" hidden="false" customHeight="false" outlineLevel="0" collapsed="false">
      <c r="A29" s="8" t="s">
        <v>646</v>
      </c>
      <c r="B29" s="8" t="s">
        <v>613</v>
      </c>
      <c r="C29" s="33" t="n">
        <v>7102</v>
      </c>
      <c r="D29" s="33" t="n">
        <v>1</v>
      </c>
      <c r="E29" s="33" t="n">
        <v>1</v>
      </c>
      <c r="F29" s="65" t="n">
        <f aca="false">D29/SUMIFS($D$4:$D$57,$A$4:$A$57,A29,$B$4:$B$57,B29,$E$4:$E$57,E29)</f>
        <v>0.5</v>
      </c>
      <c r="G29" s="66" t="str">
        <f aca="false">INDEX(AvatarItem!$B$4:$B$39,MATCH(C29,AvatarItem!$A$4:$A$39,0))</f>
        <v>春日野餐·草帽</v>
      </c>
    </row>
    <row r="30" customFormat="false" ht="15" hidden="false" customHeight="false" outlineLevel="0" collapsed="false">
      <c r="A30" s="8" t="s">
        <v>646</v>
      </c>
      <c r="B30" s="8" t="s">
        <v>613</v>
      </c>
      <c r="C30" s="33" t="n">
        <v>7005</v>
      </c>
      <c r="D30" s="33" t="n">
        <v>1</v>
      </c>
      <c r="E30" s="33" t="n">
        <v>0</v>
      </c>
      <c r="F30" s="65" t="n">
        <f aca="false">D30/SUMIFS($D$4:$D$57,$A$4:$A$57,A30,$B$4:$B$57,B30,$E$4:$E$57,E30)</f>
        <v>0.333333333333333</v>
      </c>
      <c r="G30" s="66" t="str">
        <f aca="false">INDEX(AvatarItem!$B$4:$B$39,MATCH(C30,AvatarItem!$A$4:$A$39,0))</f>
        <v>星光长发</v>
      </c>
    </row>
    <row r="31" customFormat="false" ht="15" hidden="false" customHeight="false" outlineLevel="0" collapsed="false">
      <c r="A31" s="8" t="s">
        <v>646</v>
      </c>
      <c r="B31" s="8" t="s">
        <v>613</v>
      </c>
      <c r="C31" s="33" t="n">
        <v>7024</v>
      </c>
      <c r="D31" s="33" t="n">
        <v>1</v>
      </c>
      <c r="E31" s="33" t="n">
        <v>0</v>
      </c>
      <c r="F31" s="65" t="n">
        <f aca="false">D31/SUMIFS($D$4:$D$57,$A$4:$A$57,A31,$B$4:$B$57,B31,$E$4:$E$57,E31)</f>
        <v>0.333333333333333</v>
      </c>
      <c r="G31" s="66" t="str">
        <f aca="false">INDEX(AvatarItem!$B$4:$B$39,MATCH(C31,AvatarItem!$A$4:$A$39,0))</f>
        <v>月光皇冠</v>
      </c>
    </row>
    <row r="32" customFormat="false" ht="15" hidden="false" customHeight="false" outlineLevel="0" collapsed="false">
      <c r="A32" s="8" t="s">
        <v>646</v>
      </c>
      <c r="B32" s="8" t="s">
        <v>613</v>
      </c>
      <c r="C32" s="33" t="n">
        <v>7030</v>
      </c>
      <c r="D32" s="33" t="n">
        <v>1</v>
      </c>
      <c r="E32" s="33" t="n">
        <v>0</v>
      </c>
      <c r="F32" s="65" t="n">
        <f aca="false">D32/SUMIFS($D$4:$D$57,$A$4:$A$57,A32,$B$4:$B$57,B32,$E$4:$E$57,E32)</f>
        <v>0.333333333333333</v>
      </c>
      <c r="G32" s="66" t="str">
        <f aca="false">INDEX(AvatarItem!$B$4:$B$39,MATCH(C32,AvatarItem!$A$4:$A$39,0))</f>
        <v>星河长裙</v>
      </c>
    </row>
    <row r="33" customFormat="false" ht="15" hidden="false" customHeight="false" outlineLevel="0" collapsed="false">
      <c r="A33" s="8" t="s">
        <v>646</v>
      </c>
      <c r="B33" s="8" t="s">
        <v>611</v>
      </c>
      <c r="C33" s="33" t="n">
        <v>7103</v>
      </c>
      <c r="D33" s="33" t="n">
        <v>2</v>
      </c>
      <c r="E33" s="33" t="n">
        <v>0</v>
      </c>
      <c r="F33" s="65" t="n">
        <f aca="false">D33/SUMIFS($D$4:$D$57,$A$4:$A$57,A33,$B$4:$B$57,B33,$E$4:$E$57,E33)</f>
        <v>0.222222222222222</v>
      </c>
      <c r="G33" s="66" t="str">
        <f aca="false">INDEX(AvatarItem!$B$4:$B$39,MATCH(C33,AvatarItem!$A$4:$A$39,0))</f>
        <v>春日野餐·格纹披肩</v>
      </c>
    </row>
    <row r="34" customFormat="false" ht="15" hidden="false" customHeight="false" outlineLevel="0" collapsed="false">
      <c r="A34" s="8" t="s">
        <v>646</v>
      </c>
      <c r="B34" s="8" t="s">
        <v>611</v>
      </c>
      <c r="C34" s="33" t="n">
        <v>7104</v>
      </c>
      <c r="D34" s="33" t="n">
        <v>2</v>
      </c>
      <c r="E34" s="33" t="n">
        <v>0</v>
      </c>
      <c r="F34" s="65" t="n">
        <f aca="false">D34/SUMIFS($D$4:$D$57,$A$4:$A$57,A34,$B$4:$B$57,B34,$E$4:$E$57,E34)</f>
        <v>0.222222222222222</v>
      </c>
      <c r="G34" s="66" t="str">
        <f aca="false">INDEX(AvatarItem!$B$4:$B$39,MATCH(C34,AvatarItem!$A$4:$A$39,0))</f>
        <v>春日野餐·编织篮</v>
      </c>
    </row>
    <row r="35" customFormat="false" ht="15" hidden="false" customHeight="false" outlineLevel="0" collapsed="false">
      <c r="A35" s="8" t="s">
        <v>646</v>
      </c>
      <c r="B35" s="8" t="s">
        <v>611</v>
      </c>
      <c r="C35" s="33" t="n">
        <v>7004</v>
      </c>
      <c r="D35" s="33" t="n">
        <v>1</v>
      </c>
      <c r="E35" s="33" t="n">
        <v>0</v>
      </c>
      <c r="F35" s="65" t="n">
        <f aca="false">D35/SUMIFS($D$4:$D$57,$A$4:$A$57,A35,$B$4:$B$57,B35,$E$4:$E$57,E35)</f>
        <v>0.111111111111111</v>
      </c>
      <c r="G35" s="66" t="str">
        <f aca="false">INDEX(AvatarItem!$B$4:$B$39,MATCH(C35,AvatarItem!$A$4:$A$39,0))</f>
        <v>长发·樱粉</v>
      </c>
    </row>
    <row r="36" customFormat="false" ht="15" hidden="false" customHeight="false" outlineLevel="0" collapsed="false">
      <c r="A36" s="8" t="s">
        <v>646</v>
      </c>
      <c r="B36" s="8" t="s">
        <v>611</v>
      </c>
      <c r="C36" s="33" t="n">
        <v>7010</v>
      </c>
      <c r="D36" s="33" t="n">
        <v>1</v>
      </c>
      <c r="E36" s="33" t="n">
        <v>0</v>
      </c>
      <c r="F36" s="65" t="n">
        <f aca="false">D36/SUMIFS($D$4:$D$57,$A$4:$A$57,A36,$B$4:$B$57,B36,$E$4:$E$57,E36)</f>
        <v>0.111111111111111</v>
      </c>
      <c r="G36" s="66" t="str">
        <f aca="false">INDEX(AvatarItem!$B$4:$B$39,MATCH(C36,AvatarItem!$A$4:$A$39,0))</f>
        <v>刺绣衬衫</v>
      </c>
    </row>
    <row r="37" customFormat="false" ht="15" hidden="false" customHeight="false" outlineLevel="0" collapsed="false">
      <c r="A37" s="8" t="s">
        <v>646</v>
      </c>
      <c r="B37" s="8" t="s">
        <v>611</v>
      </c>
      <c r="C37" s="33" t="n">
        <v>7015</v>
      </c>
      <c r="D37" s="33" t="n">
        <v>1</v>
      </c>
      <c r="E37" s="33" t="n">
        <v>0</v>
      </c>
      <c r="F37" s="65" t="n">
        <f aca="false">D37/SUMIFS($D$4:$D$57,$A$4:$A$57,A37,$B$4:$B$57,B37,$E$4:$E$57,E37)</f>
        <v>0.111111111111111</v>
      </c>
      <c r="G37" s="66" t="str">
        <f aca="false">INDEX(AvatarItem!$B$4:$B$39,MATCH(C37,AvatarItem!$A$4:$A$39,0))</f>
        <v>灯笼裤</v>
      </c>
    </row>
    <row r="38" customFormat="false" ht="15" hidden="false" customHeight="false" outlineLevel="0" collapsed="false">
      <c r="A38" s="8" t="s">
        <v>646</v>
      </c>
      <c r="B38" s="8" t="s">
        <v>611</v>
      </c>
      <c r="C38" s="33" t="n">
        <v>7019</v>
      </c>
      <c r="D38" s="33" t="n">
        <v>1</v>
      </c>
      <c r="E38" s="33" t="n">
        <v>0</v>
      </c>
      <c r="F38" s="65" t="n">
        <f aca="false">D38/SUMIFS($D$4:$D$57,$A$4:$A$57,A38,$B$4:$B$57,B38,$E$4:$E$57,E38)</f>
        <v>0.111111111111111</v>
      </c>
      <c r="G38" s="66" t="str">
        <f aca="false">INDEX(AvatarItem!$B$4:$B$39,MATCH(C38,AvatarItem!$A$4:$A$39,0))</f>
        <v>云朵运动鞋</v>
      </c>
    </row>
    <row r="39" customFormat="false" ht="15" hidden="false" customHeight="false" outlineLevel="0" collapsed="false">
      <c r="A39" s="8" t="s">
        <v>646</v>
      </c>
      <c r="B39" s="8" t="s">
        <v>611</v>
      </c>
      <c r="C39" s="33" t="n">
        <v>7029</v>
      </c>
      <c r="D39" s="33" t="n">
        <v>1</v>
      </c>
      <c r="E39" s="33" t="n">
        <v>0</v>
      </c>
      <c r="F39" s="65" t="n">
        <f aca="false">D39/SUMIFS($D$4:$D$57,$A$4:$A$57,A39,$B$4:$B$57,B39,$E$4:$E$57,E39)</f>
        <v>0.111111111111111</v>
      </c>
      <c r="G39" s="66" t="str">
        <f aca="false">INDEX(AvatarItem!$B$4:$B$39,MATCH(C39,AvatarItem!$A$4:$A$39,0))</f>
        <v>云朵翅膀</v>
      </c>
    </row>
    <row r="40" customFormat="false" ht="15" hidden="false" customHeight="false" outlineLevel="0" collapsed="false">
      <c r="A40" s="8" t="s">
        <v>646</v>
      </c>
      <c r="B40" s="8" t="s">
        <v>609</v>
      </c>
      <c r="C40" s="33" t="n">
        <v>7105</v>
      </c>
      <c r="D40" s="33" t="n">
        <v>2</v>
      </c>
      <c r="E40" s="33" t="n">
        <v>0</v>
      </c>
      <c r="F40" s="65" t="n">
        <f aca="false">D40/SUMIFS($D$4:$D$57,$A$4:$A$57,A40,$B$4:$B$57,B40,$E$4:$E$57,E40)</f>
        <v>0.142857142857143</v>
      </c>
      <c r="G40" s="66" t="str">
        <f aca="false">INDEX(AvatarItem!$B$4:$B$39,MATCH(C40,AvatarItem!$A$4:$A$39,0))</f>
        <v>春日野餐·凉鞋</v>
      </c>
    </row>
    <row r="41" customFormat="false" ht="15" hidden="false" customHeight="false" outlineLevel="0" collapsed="false">
      <c r="A41" s="8" t="s">
        <v>646</v>
      </c>
      <c r="B41" s="8" t="s">
        <v>609</v>
      </c>
      <c r="C41" s="33" t="n">
        <v>7106</v>
      </c>
      <c r="D41" s="33" t="n">
        <v>2</v>
      </c>
      <c r="E41" s="33" t="n">
        <v>0</v>
      </c>
      <c r="F41" s="65" t="n">
        <f aca="false">D41/SUMIFS($D$4:$D$57,$A$4:$A$57,A41,$B$4:$B$57,B41,$E$4:$E$57,E41)</f>
        <v>0.142857142857143</v>
      </c>
      <c r="G41" s="66" t="str">
        <f aca="false">INDEX(AvatarItem!$B$4:$B$39,MATCH(C41,AvatarItem!$A$4:$A$39,0))</f>
        <v>春日野餐·丝带</v>
      </c>
    </row>
    <row r="42" customFormat="false" ht="15" hidden="false" customHeight="false" outlineLevel="0" collapsed="false">
      <c r="A42" s="8" t="s">
        <v>646</v>
      </c>
      <c r="B42" s="8" t="s">
        <v>609</v>
      </c>
      <c r="C42" s="33" t="n">
        <v>7003</v>
      </c>
      <c r="D42" s="33" t="n">
        <v>1</v>
      </c>
      <c r="E42" s="33" t="n">
        <v>0</v>
      </c>
      <c r="F42" s="65" t="n">
        <f aca="false">D42/SUMIFS($D$4:$D$57,$A$4:$A$57,A42,$B$4:$B$57,B42,$E$4:$E$57,E42)</f>
        <v>0.0714285714285714</v>
      </c>
      <c r="G42" s="66" t="str">
        <f aca="false">INDEX(AvatarItem!$B$4:$B$39,MATCH(C42,AvatarItem!$A$4:$A$39,0))</f>
        <v>卷发·栗</v>
      </c>
    </row>
    <row r="43" customFormat="false" ht="15" hidden="false" customHeight="false" outlineLevel="0" collapsed="false">
      <c r="A43" s="8" t="s">
        <v>646</v>
      </c>
      <c r="B43" s="8" t="s">
        <v>609</v>
      </c>
      <c r="C43" s="33" t="n">
        <v>7008</v>
      </c>
      <c r="D43" s="33" t="n">
        <v>1</v>
      </c>
      <c r="E43" s="33" t="n">
        <v>0</v>
      </c>
      <c r="F43" s="65" t="n">
        <f aca="false">D43/SUMIFS($D$4:$D$57,$A$4:$A$57,A43,$B$4:$B$57,B43,$E$4:$E$57,E43)</f>
        <v>0.0714285714285714</v>
      </c>
      <c r="G43" s="66" t="str">
        <f aca="false">INDEX(AvatarItem!$B$4:$B$39,MATCH(C43,AvatarItem!$A$4:$A$39,0))</f>
        <v>针织背心</v>
      </c>
    </row>
    <row r="44" customFormat="false" ht="15" hidden="false" customHeight="false" outlineLevel="0" collapsed="false">
      <c r="A44" s="8" t="s">
        <v>646</v>
      </c>
      <c r="B44" s="8" t="s">
        <v>609</v>
      </c>
      <c r="C44" s="33" t="n">
        <v>7009</v>
      </c>
      <c r="D44" s="33" t="n">
        <v>1</v>
      </c>
      <c r="E44" s="33" t="n">
        <v>0</v>
      </c>
      <c r="F44" s="65" t="n">
        <f aca="false">D44/SUMIFS($D$4:$D$57,$A$4:$A$57,A44,$B$4:$B$57,B44,$E$4:$E$57,E44)</f>
        <v>0.0714285714285714</v>
      </c>
      <c r="G44" s="66" t="str">
        <f aca="false">INDEX(AvatarItem!$B$4:$B$39,MATCH(C44,AvatarItem!$A$4:$A$39,0))</f>
        <v>工装外套</v>
      </c>
    </row>
    <row r="45" customFormat="false" ht="15" hidden="false" customHeight="false" outlineLevel="0" collapsed="false">
      <c r="A45" s="8" t="s">
        <v>646</v>
      </c>
      <c r="B45" s="8" t="s">
        <v>609</v>
      </c>
      <c r="C45" s="33" t="n">
        <v>7013</v>
      </c>
      <c r="D45" s="33" t="n">
        <v>1</v>
      </c>
      <c r="E45" s="33" t="n">
        <v>0</v>
      </c>
      <c r="F45" s="65" t="n">
        <f aca="false">D45/SUMIFS($D$4:$D$57,$A$4:$A$57,A45,$B$4:$B$57,B45,$E$4:$E$57,E45)</f>
        <v>0.0714285714285714</v>
      </c>
      <c r="G45" s="66" t="str">
        <f aca="false">INDEX(AvatarItem!$B$4:$B$39,MATCH(C45,AvatarItem!$A$4:$A$39,0))</f>
        <v>工装长裤</v>
      </c>
    </row>
    <row r="46" customFormat="false" ht="15" hidden="false" customHeight="false" outlineLevel="0" collapsed="false">
      <c r="A46" s="8" t="s">
        <v>646</v>
      </c>
      <c r="B46" s="8" t="s">
        <v>609</v>
      </c>
      <c r="C46" s="33" t="n">
        <v>7014</v>
      </c>
      <c r="D46" s="33" t="n">
        <v>1</v>
      </c>
      <c r="E46" s="33" t="n">
        <v>0</v>
      </c>
      <c r="F46" s="65" t="n">
        <f aca="false">D46/SUMIFS($D$4:$D$57,$A$4:$A$57,A46,$B$4:$B$57,B46,$E$4:$E$57,E46)</f>
        <v>0.0714285714285714</v>
      </c>
      <c r="G46" s="66" t="str">
        <f aca="false">INDEX(AvatarItem!$B$4:$B$39,MATCH(C46,AvatarItem!$A$4:$A$39,0))</f>
        <v>百褶裙</v>
      </c>
    </row>
    <row r="47" customFormat="false" ht="15" hidden="false" customHeight="false" outlineLevel="0" collapsed="false">
      <c r="A47" s="8" t="s">
        <v>646</v>
      </c>
      <c r="B47" s="8" t="s">
        <v>609</v>
      </c>
      <c r="C47" s="33" t="n">
        <v>7018</v>
      </c>
      <c r="D47" s="33" t="n">
        <v>1</v>
      </c>
      <c r="E47" s="33" t="n">
        <v>0</v>
      </c>
      <c r="F47" s="65" t="n">
        <f aca="false">D47/SUMIFS($D$4:$D$57,$A$4:$A$57,A47,$B$4:$B$57,B47,$E$4:$E$57,E47)</f>
        <v>0.0714285714285714</v>
      </c>
      <c r="G47" s="66" t="str">
        <f aca="false">INDEX(AvatarItem!$B$4:$B$39,MATCH(C47,AvatarItem!$A$4:$A$39,0))</f>
        <v>绒毛靴</v>
      </c>
    </row>
    <row r="48" customFormat="false" ht="15" hidden="false" customHeight="false" outlineLevel="0" collapsed="false">
      <c r="A48" s="8" t="s">
        <v>646</v>
      </c>
      <c r="B48" s="8" t="s">
        <v>609</v>
      </c>
      <c r="C48" s="33" t="n">
        <v>7022</v>
      </c>
      <c r="D48" s="33" t="n">
        <v>1</v>
      </c>
      <c r="E48" s="33" t="n">
        <v>0</v>
      </c>
      <c r="F48" s="65" t="n">
        <f aca="false">D48/SUMIFS($D$4:$D$57,$A$4:$A$57,A48,$B$4:$B$57,B48,$E$4:$E$57,E48)</f>
        <v>0.0714285714285714</v>
      </c>
      <c r="G48" s="66" t="str">
        <f aca="false">INDEX(AvatarItem!$B$4:$B$39,MATCH(C48,AvatarItem!$A$4:$A$39,0))</f>
        <v>渔夫帽</v>
      </c>
    </row>
    <row r="49" customFormat="false" ht="15" hidden="false" customHeight="false" outlineLevel="0" collapsed="false">
      <c r="A49" s="8" t="s">
        <v>646</v>
      </c>
      <c r="B49" s="8" t="s">
        <v>609</v>
      </c>
      <c r="C49" s="33" t="n">
        <v>7023</v>
      </c>
      <c r="D49" s="33" t="n">
        <v>1</v>
      </c>
      <c r="E49" s="33" t="n">
        <v>0</v>
      </c>
      <c r="F49" s="65" t="n">
        <f aca="false">D49/SUMIFS($D$4:$D$57,$A$4:$A$57,A49,$B$4:$B$57,B49,$E$4:$E$57,E49)</f>
        <v>0.0714285714285714</v>
      </c>
      <c r="G49" s="66" t="str">
        <f aca="false">INDEX(AvatarItem!$B$4:$B$39,MATCH(C49,AvatarItem!$A$4:$A$39,0))</f>
        <v>兔耳发箍</v>
      </c>
    </row>
    <row r="50" customFormat="false" ht="15" hidden="false" customHeight="false" outlineLevel="0" collapsed="false">
      <c r="A50" s="8" t="s">
        <v>646</v>
      </c>
      <c r="B50" s="8" t="s">
        <v>609</v>
      </c>
      <c r="C50" s="33" t="n">
        <v>7027</v>
      </c>
      <c r="D50" s="33" t="n">
        <v>1</v>
      </c>
      <c r="E50" s="33" t="n">
        <v>0</v>
      </c>
      <c r="F50" s="65" t="n">
        <f aca="false">D50/SUMIFS($D$4:$D$57,$A$4:$A$57,A50,$B$4:$B$57,B50,$E$4:$E$57,E50)</f>
        <v>0.0714285714285714</v>
      </c>
      <c r="G50" s="66" t="str">
        <f aca="false">INDEX(AvatarItem!$B$4:$B$39,MATCH(C50,AvatarItem!$A$4:$A$39,0))</f>
        <v>小背包</v>
      </c>
    </row>
    <row r="51" customFormat="false" ht="15" hidden="false" customHeight="false" outlineLevel="0" collapsed="false">
      <c r="A51" s="8" t="s">
        <v>646</v>
      </c>
      <c r="B51" s="8" t="s">
        <v>609</v>
      </c>
      <c r="C51" s="33" t="n">
        <v>7028</v>
      </c>
      <c r="D51" s="33" t="n">
        <v>1</v>
      </c>
      <c r="E51" s="33" t="n">
        <v>0</v>
      </c>
      <c r="F51" s="65" t="n">
        <f aca="false">D51/SUMIFS($D$4:$D$57,$A$4:$A$57,A51,$B$4:$B$57,B51,$E$4:$E$57,E51)</f>
        <v>0.0714285714285714</v>
      </c>
      <c r="G51" s="66" t="str">
        <f aca="false">INDEX(AvatarItem!$B$4:$B$39,MATCH(C51,AvatarItem!$A$4:$A$39,0))</f>
        <v>蝴蝶结</v>
      </c>
    </row>
    <row r="52" customFormat="false" ht="15" hidden="false" customHeight="false" outlineLevel="0" collapsed="false">
      <c r="A52" s="8" t="s">
        <v>646</v>
      </c>
      <c r="B52" s="8" t="s">
        <v>603</v>
      </c>
      <c r="C52" s="33" t="n">
        <v>7002</v>
      </c>
      <c r="D52" s="33" t="n">
        <v>1</v>
      </c>
      <c r="E52" s="33" t="n">
        <v>0</v>
      </c>
      <c r="F52" s="65" t="n">
        <f aca="false">D52/SUMIFS($D$4:$D$57,$A$4:$A$57,A52,$B$4:$B$57,B52,$E$4:$E$57,E52)</f>
        <v>0.166666666666667</v>
      </c>
      <c r="G52" s="66" t="str">
        <f aca="false">INDEX(AvatarItem!$B$4:$B$39,MATCH(C52,AvatarItem!$A$4:$A$39,0))</f>
        <v>双马尾·棕</v>
      </c>
    </row>
    <row r="53" customFormat="false" ht="15" hidden="false" customHeight="false" outlineLevel="0" collapsed="false">
      <c r="A53" s="8" t="s">
        <v>646</v>
      </c>
      <c r="B53" s="8" t="s">
        <v>603</v>
      </c>
      <c r="C53" s="33" t="n">
        <v>7007</v>
      </c>
      <c r="D53" s="33" t="n">
        <v>1</v>
      </c>
      <c r="E53" s="33" t="n">
        <v>0</v>
      </c>
      <c r="F53" s="65" t="n">
        <f aca="false">D53/SUMIFS($D$4:$D$57,$A$4:$A$57,A53,$B$4:$B$57,B53,$E$4:$E$57,E53)</f>
        <v>0.166666666666667</v>
      </c>
      <c r="G53" s="66" t="str">
        <f aca="false">INDEX(AvatarItem!$B$4:$B$39,MATCH(C53,AvatarItem!$A$4:$A$39,0))</f>
        <v>条纹衫</v>
      </c>
    </row>
    <row r="54" customFormat="false" ht="15" hidden="false" customHeight="false" outlineLevel="0" collapsed="false">
      <c r="A54" s="8" t="s">
        <v>646</v>
      </c>
      <c r="B54" s="8" t="s">
        <v>603</v>
      </c>
      <c r="C54" s="33" t="n">
        <v>7012</v>
      </c>
      <c r="D54" s="33" t="n">
        <v>1</v>
      </c>
      <c r="E54" s="33" t="n">
        <v>0</v>
      </c>
      <c r="F54" s="65" t="n">
        <f aca="false">D54/SUMIFS($D$4:$D$57,$A$4:$A$57,A54,$B$4:$B$57,B54,$E$4:$E$57,E54)</f>
        <v>0.166666666666667</v>
      </c>
      <c r="G54" s="66" t="str">
        <f aca="false">INDEX(AvatarItem!$B$4:$B$39,MATCH(C54,AvatarItem!$A$4:$A$39,0))</f>
        <v>格子裙</v>
      </c>
    </row>
    <row r="55" customFormat="false" ht="15" hidden="false" customHeight="false" outlineLevel="0" collapsed="false">
      <c r="A55" s="8" t="s">
        <v>646</v>
      </c>
      <c r="B55" s="8" t="s">
        <v>603</v>
      </c>
      <c r="C55" s="33" t="n">
        <v>7017</v>
      </c>
      <c r="D55" s="33" t="n">
        <v>1</v>
      </c>
      <c r="E55" s="33" t="n">
        <v>0</v>
      </c>
      <c r="F55" s="65" t="n">
        <f aca="false">D55/SUMIFS($D$4:$D$57,$A$4:$A$57,A55,$B$4:$B$57,B55,$E$4:$E$57,E55)</f>
        <v>0.166666666666667</v>
      </c>
      <c r="G55" s="66" t="str">
        <f aca="false">INDEX(AvatarItem!$B$4:$B$39,MATCH(C55,AvatarItem!$A$4:$A$39,0))</f>
        <v>小皮靴</v>
      </c>
    </row>
    <row r="56" customFormat="false" ht="15" hidden="false" customHeight="false" outlineLevel="0" collapsed="false">
      <c r="A56" s="8" t="s">
        <v>646</v>
      </c>
      <c r="B56" s="8" t="s">
        <v>603</v>
      </c>
      <c r="C56" s="33" t="n">
        <v>7021</v>
      </c>
      <c r="D56" s="33" t="n">
        <v>1</v>
      </c>
      <c r="E56" s="33" t="n">
        <v>0</v>
      </c>
      <c r="F56" s="65" t="n">
        <f aca="false">D56/SUMIFS($D$4:$D$57,$A$4:$A$57,A56,$B$4:$B$57,B56,$E$4:$E$57,E56)</f>
        <v>0.166666666666667</v>
      </c>
      <c r="G56" s="66" t="str">
        <f aca="false">INDEX(AvatarItem!$B$4:$B$39,MATCH(C56,AvatarItem!$A$4:$A$39,0))</f>
        <v>贝雷帽</v>
      </c>
    </row>
    <row r="57" customFormat="false" ht="15" hidden="false" customHeight="false" outlineLevel="0" collapsed="false">
      <c r="A57" s="8" t="s">
        <v>646</v>
      </c>
      <c r="B57" s="8" t="s">
        <v>603</v>
      </c>
      <c r="C57" s="33" t="n">
        <v>7026</v>
      </c>
      <c r="D57" s="33" t="n">
        <v>1</v>
      </c>
      <c r="E57" s="33" t="n">
        <v>0</v>
      </c>
      <c r="F57" s="65" t="n">
        <f aca="false">D57/SUMIFS($D$4:$D$57,$A$4:$A$57,A57,$B$4:$B$57,B57,$E$4:$E$57,E57)</f>
        <v>0.166666666666667</v>
      </c>
      <c r="G57" s="66" t="str">
        <f aca="false">INDEX(AvatarItem!$B$4:$B$39,MATCH(C57,AvatarItem!$A$4:$A$39,0))</f>
        <v>圆框眼镜</v>
      </c>
    </row>
  </sheetData>
  <autoFilter ref="A3:G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9"/>
    <col collapsed="false" customWidth="true" hidden="false" outlineLevel="0" max="4" min="4" style="0" width="30"/>
    <col collapsed="false" customWidth="true" hidden="false" outlineLevel="0" max="6" min="5" style="0" width="12"/>
  </cols>
  <sheetData>
    <row r="1" customFormat="false" ht="21.6" hidden="false" customHeight="false" outlineLevel="0" collapsed="false">
      <c r="A1" s="67" t="s">
        <v>710</v>
      </c>
    </row>
    <row r="2" customFormat="false" ht="15" hidden="false" customHeight="false" outlineLevel="0" collapsed="false">
      <c r="A2" s="2" t="s">
        <v>711</v>
      </c>
    </row>
    <row r="3" customFormat="false" ht="15" hidden="false" customHeight="false" outlineLevel="0" collapsed="false">
      <c r="A3" s="4" t="s">
        <v>494</v>
      </c>
      <c r="B3" s="4" t="s">
        <v>118</v>
      </c>
      <c r="D3" s="28" t="s">
        <v>712</v>
      </c>
      <c r="E3" s="28" t="s">
        <v>118</v>
      </c>
    </row>
    <row r="4" customFormat="false" ht="15" hidden="false" customHeight="false" outlineLevel="0" collapsed="false">
      <c r="A4" s="6" t="s">
        <v>713</v>
      </c>
      <c r="B4" s="68" t="n">
        <f aca="false">GachaRule!$B$4</f>
        <v>0.01</v>
      </c>
      <c r="D4" s="6" t="s">
        <v>96</v>
      </c>
      <c r="E4" s="69" t="n">
        <f aca="false">SUM(E20:E79)</f>
        <v>36.3040998122244</v>
      </c>
    </row>
    <row r="5" customFormat="false" ht="15" hidden="false" customHeight="false" outlineLevel="0" collapsed="false">
      <c r="A5" s="6" t="s">
        <v>714</v>
      </c>
      <c r="B5" s="70" t="n">
        <f aca="false">GachaRule!$B$8</f>
        <v>40</v>
      </c>
      <c r="D5" s="8" t="s">
        <v>715</v>
      </c>
      <c r="E5" s="65" t="n">
        <f aca="false">INDEX(F20:F79,B9)</f>
        <v>0.358057403392731</v>
      </c>
    </row>
    <row r="6" customFormat="false" ht="15" hidden="false" customHeight="false" outlineLevel="0" collapsed="false">
      <c r="A6" s="6" t="s">
        <v>716</v>
      </c>
      <c r="B6" s="68" t="n">
        <f aca="false">GachaRule!$B$9</f>
        <v>0.04</v>
      </c>
      <c r="D6" s="8" t="s">
        <v>717</v>
      </c>
      <c r="E6" s="65" t="n">
        <f aca="false">INDEX(F20:F79,B10)</f>
        <v>0.975694101017668</v>
      </c>
    </row>
    <row r="7" customFormat="false" ht="15" hidden="false" customHeight="false" outlineLevel="0" collapsed="false">
      <c r="A7" s="6" t="s">
        <v>718</v>
      </c>
      <c r="B7" s="70" t="n">
        <f aca="false">GachaRule!$B$10</f>
        <v>60</v>
      </c>
      <c r="D7" s="6" t="s">
        <v>719</v>
      </c>
      <c r="E7" s="71" t="n">
        <f aca="false">1/E4</f>
        <v>0.0275450983545191</v>
      </c>
    </row>
    <row r="8" customFormat="false" ht="15" hidden="false" customHeight="false" outlineLevel="0" collapsed="false">
      <c r="A8" s="8" t="s">
        <v>720</v>
      </c>
      <c r="B8" s="72" t="n">
        <f aca="false">GachaRule!$B$12</f>
        <v>0.5</v>
      </c>
      <c r="D8" s="6" t="s">
        <v>721</v>
      </c>
      <c r="E8" s="69" t="n">
        <f aca="false">E4*(1+(1-B8))</f>
        <v>54.4561497183367</v>
      </c>
    </row>
    <row r="9" customFormat="false" ht="15" hidden="false" customHeight="false" outlineLevel="0" collapsed="false">
      <c r="A9" s="6" t="s">
        <v>722</v>
      </c>
      <c r="B9" s="59" t="n">
        <v>40</v>
      </c>
      <c r="D9" s="6" t="s">
        <v>723</v>
      </c>
      <c r="E9" s="65" t="n">
        <f aca="false">SUM(D20:D79)</f>
        <v>1</v>
      </c>
    </row>
    <row r="10" customFormat="false" ht="15" hidden="false" customHeight="false" outlineLevel="0" collapsed="false">
      <c r="A10" s="6" t="s">
        <v>724</v>
      </c>
      <c r="B10" s="59" t="n">
        <v>50</v>
      </c>
    </row>
    <row r="12" customFormat="false" ht="15" hidden="false" customHeight="false" outlineLevel="0" collapsed="false">
      <c r="A12" s="2" t="s">
        <v>725</v>
      </c>
    </row>
    <row r="19" customFormat="false" ht="39.75" hidden="false" customHeight="true" outlineLevel="0" collapsed="false">
      <c r="A19" s="51" t="s">
        <v>726</v>
      </c>
      <c r="B19" s="51" t="s">
        <v>727</v>
      </c>
      <c r="C19" s="28" t="s">
        <v>728</v>
      </c>
      <c r="D19" s="28" t="s">
        <v>729</v>
      </c>
      <c r="E19" s="51" t="s">
        <v>730</v>
      </c>
      <c r="F19" s="28" t="s">
        <v>731</v>
      </c>
    </row>
    <row r="20" customFormat="false" ht="15" hidden="false" customHeight="false" outlineLevel="0" collapsed="false">
      <c r="A20" s="6" t="n">
        <v>1</v>
      </c>
      <c r="B20" s="65" t="n">
        <f aca="false">IF(A20&gt;=$B$7,1,IF(A20&gt;=$B$5,MIN(1,$B$4+$B$6*(A20-$B$5+1)),$B$4))</f>
        <v>0.01</v>
      </c>
      <c r="C20" s="65" t="n">
        <f aca="false">1</f>
        <v>1</v>
      </c>
      <c r="D20" s="71" t="n">
        <f aca="false">C20*B20</f>
        <v>0.01</v>
      </c>
      <c r="E20" s="73" t="n">
        <f aca="false">A20*D20</f>
        <v>0.01</v>
      </c>
      <c r="F20" s="65" t="n">
        <f aca="false">SUM($D$20:D20)</f>
        <v>0.01</v>
      </c>
    </row>
    <row r="21" customFormat="false" ht="15" hidden="false" customHeight="false" outlineLevel="0" collapsed="false">
      <c r="A21" s="6" t="n">
        <v>2</v>
      </c>
      <c r="B21" s="65" t="n">
        <f aca="false">IF(A21&gt;=$B$7,1,IF(A21&gt;=$B$5,MIN(1,$B$4+$B$6*(A21-$B$5+1)),$B$4))</f>
        <v>0.01</v>
      </c>
      <c r="C21" s="65" t="n">
        <f aca="false">C20*(1-B20)</f>
        <v>0.99</v>
      </c>
      <c r="D21" s="71" t="n">
        <f aca="false">C21*B21</f>
        <v>0.0099</v>
      </c>
      <c r="E21" s="73" t="n">
        <f aca="false">A21*D21</f>
        <v>0.0198</v>
      </c>
      <c r="F21" s="65" t="n">
        <f aca="false">SUM($D$20:D21)</f>
        <v>0.0199</v>
      </c>
    </row>
    <row r="22" customFormat="false" ht="15" hidden="false" customHeight="false" outlineLevel="0" collapsed="false">
      <c r="A22" s="6" t="n">
        <v>3</v>
      </c>
      <c r="B22" s="65" t="n">
        <f aca="false">IF(A22&gt;=$B$7,1,IF(A22&gt;=$B$5,MIN(1,$B$4+$B$6*(A22-$B$5+1)),$B$4))</f>
        <v>0.01</v>
      </c>
      <c r="C22" s="65" t="n">
        <f aca="false">C21*(1-B21)</f>
        <v>0.9801</v>
      </c>
      <c r="D22" s="71" t="n">
        <f aca="false">C22*B22</f>
        <v>0.009801</v>
      </c>
      <c r="E22" s="73" t="n">
        <f aca="false">A22*D22</f>
        <v>0.029403</v>
      </c>
      <c r="F22" s="65" t="n">
        <f aca="false">SUM($D$20:D22)</f>
        <v>0.029701</v>
      </c>
    </row>
    <row r="23" customFormat="false" ht="15" hidden="false" customHeight="false" outlineLevel="0" collapsed="false">
      <c r="A23" s="6" t="n">
        <v>4</v>
      </c>
      <c r="B23" s="65" t="n">
        <f aca="false">IF(A23&gt;=$B$7,1,IF(A23&gt;=$B$5,MIN(1,$B$4+$B$6*(A23-$B$5+1)),$B$4))</f>
        <v>0.01</v>
      </c>
      <c r="C23" s="65" t="n">
        <f aca="false">C22*(1-B22)</f>
        <v>0.970299</v>
      </c>
      <c r="D23" s="71" t="n">
        <f aca="false">C23*B23</f>
        <v>0.00970299</v>
      </c>
      <c r="E23" s="73" t="n">
        <f aca="false">A23*D23</f>
        <v>0.03881196</v>
      </c>
      <c r="F23" s="65" t="n">
        <f aca="false">SUM($D$20:D23)</f>
        <v>0.03940399</v>
      </c>
    </row>
    <row r="24" customFormat="false" ht="15" hidden="false" customHeight="false" outlineLevel="0" collapsed="false">
      <c r="A24" s="6" t="n">
        <v>5</v>
      </c>
      <c r="B24" s="65" t="n">
        <f aca="false">IF(A24&gt;=$B$7,1,IF(A24&gt;=$B$5,MIN(1,$B$4+$B$6*(A24-$B$5+1)),$B$4))</f>
        <v>0.01</v>
      </c>
      <c r="C24" s="65" t="n">
        <f aca="false">C23*(1-B23)</f>
        <v>0.96059601</v>
      </c>
      <c r="D24" s="71" t="n">
        <f aca="false">C24*B24</f>
        <v>0.0096059601</v>
      </c>
      <c r="E24" s="73" t="n">
        <f aca="false">A24*D24</f>
        <v>0.0480298005</v>
      </c>
      <c r="F24" s="65" t="n">
        <f aca="false">SUM($D$20:D24)</f>
        <v>0.0490099501</v>
      </c>
    </row>
    <row r="25" customFormat="false" ht="15" hidden="false" customHeight="false" outlineLevel="0" collapsed="false">
      <c r="A25" s="6" t="n">
        <v>6</v>
      </c>
      <c r="B25" s="65" t="n">
        <f aca="false">IF(A25&gt;=$B$7,1,IF(A25&gt;=$B$5,MIN(1,$B$4+$B$6*(A25-$B$5+1)),$B$4))</f>
        <v>0.01</v>
      </c>
      <c r="C25" s="65" t="n">
        <f aca="false">C24*(1-B24)</f>
        <v>0.9509900499</v>
      </c>
      <c r="D25" s="71" t="n">
        <f aca="false">C25*B25</f>
        <v>0.009509900499</v>
      </c>
      <c r="E25" s="73" t="n">
        <f aca="false">A25*D25</f>
        <v>0.057059402994</v>
      </c>
      <c r="F25" s="65" t="n">
        <f aca="false">SUM($D$20:D25)</f>
        <v>0.058519850599</v>
      </c>
    </row>
    <row r="26" customFormat="false" ht="15" hidden="false" customHeight="false" outlineLevel="0" collapsed="false">
      <c r="A26" s="6" t="n">
        <v>7</v>
      </c>
      <c r="B26" s="65" t="n">
        <f aca="false">IF(A26&gt;=$B$7,1,IF(A26&gt;=$B$5,MIN(1,$B$4+$B$6*(A26-$B$5+1)),$B$4))</f>
        <v>0.01</v>
      </c>
      <c r="C26" s="65" t="n">
        <f aca="false">C25*(1-B25)</f>
        <v>0.941480149401</v>
      </c>
      <c r="D26" s="71" t="n">
        <f aca="false">C26*B26</f>
        <v>0.00941480149401</v>
      </c>
      <c r="E26" s="73" t="n">
        <f aca="false">A26*D26</f>
        <v>0.06590361045807</v>
      </c>
      <c r="F26" s="65" t="n">
        <f aca="false">SUM($D$20:D26)</f>
        <v>0.06793465209301</v>
      </c>
    </row>
    <row r="27" customFormat="false" ht="15" hidden="false" customHeight="false" outlineLevel="0" collapsed="false">
      <c r="A27" s="6" t="n">
        <v>8</v>
      </c>
      <c r="B27" s="65" t="n">
        <f aca="false">IF(A27&gt;=$B$7,1,IF(A27&gt;=$B$5,MIN(1,$B$4+$B$6*(A27-$B$5+1)),$B$4))</f>
        <v>0.01</v>
      </c>
      <c r="C27" s="65" t="n">
        <f aca="false">C26*(1-B26)</f>
        <v>0.93206534790699</v>
      </c>
      <c r="D27" s="71" t="n">
        <f aca="false">C27*B27</f>
        <v>0.0093206534790699</v>
      </c>
      <c r="E27" s="73" t="n">
        <f aca="false">A27*D27</f>
        <v>0.0745652278325592</v>
      </c>
      <c r="F27" s="65" t="n">
        <f aca="false">SUM($D$20:D27)</f>
        <v>0.0772553055720799</v>
      </c>
    </row>
    <row r="28" customFormat="false" ht="15" hidden="false" customHeight="false" outlineLevel="0" collapsed="false">
      <c r="A28" s="6" t="n">
        <v>9</v>
      </c>
      <c r="B28" s="65" t="n">
        <f aca="false">IF(A28&gt;=$B$7,1,IF(A28&gt;=$B$5,MIN(1,$B$4+$B$6*(A28-$B$5+1)),$B$4))</f>
        <v>0.01</v>
      </c>
      <c r="C28" s="65" t="n">
        <f aca="false">C27*(1-B27)</f>
        <v>0.92274469442792</v>
      </c>
      <c r="D28" s="71" t="n">
        <f aca="false">C28*B28</f>
        <v>0.0092274469442792</v>
      </c>
      <c r="E28" s="73" t="n">
        <f aca="false">A28*D28</f>
        <v>0.0830470224985128</v>
      </c>
      <c r="F28" s="65" t="n">
        <f aca="false">SUM($D$20:D28)</f>
        <v>0.0864827525163591</v>
      </c>
    </row>
    <row r="29" customFormat="false" ht="15" hidden="false" customHeight="false" outlineLevel="0" collapsed="false">
      <c r="A29" s="6" t="n">
        <v>10</v>
      </c>
      <c r="B29" s="65" t="n">
        <f aca="false">IF(A29&gt;=$B$7,1,IF(A29&gt;=$B$5,MIN(1,$B$4+$B$6*(A29-$B$5+1)),$B$4))</f>
        <v>0.01</v>
      </c>
      <c r="C29" s="65" t="n">
        <f aca="false">C28*(1-B28)</f>
        <v>0.913517247483641</v>
      </c>
      <c r="D29" s="71" t="n">
        <f aca="false">C29*B29</f>
        <v>0.00913517247483641</v>
      </c>
      <c r="E29" s="73" t="n">
        <f aca="false">A29*D29</f>
        <v>0.0913517247483641</v>
      </c>
      <c r="F29" s="65" t="n">
        <f aca="false">SUM($D$20:D29)</f>
        <v>0.0956179249911955</v>
      </c>
    </row>
    <row r="30" customFormat="false" ht="15" hidden="false" customHeight="false" outlineLevel="0" collapsed="false">
      <c r="A30" s="6" t="n">
        <v>11</v>
      </c>
      <c r="B30" s="65" t="n">
        <f aca="false">IF(A30&gt;=$B$7,1,IF(A30&gt;=$B$5,MIN(1,$B$4+$B$6*(A30-$B$5+1)),$B$4))</f>
        <v>0.01</v>
      </c>
      <c r="C30" s="65" t="n">
        <f aca="false">C29*(1-B29)</f>
        <v>0.904382075008804</v>
      </c>
      <c r="D30" s="71" t="n">
        <f aca="false">C30*B30</f>
        <v>0.00904382075008804</v>
      </c>
      <c r="E30" s="73" t="n">
        <f aca="false">A30*D30</f>
        <v>0.0994820282509685</v>
      </c>
      <c r="F30" s="65" t="n">
        <f aca="false">SUM($D$20:D30)</f>
        <v>0.104661745741284</v>
      </c>
    </row>
    <row r="31" customFormat="false" ht="15" hidden="false" customHeight="false" outlineLevel="0" collapsed="false">
      <c r="A31" s="6" t="n">
        <v>12</v>
      </c>
      <c r="B31" s="65" t="n">
        <f aca="false">IF(A31&gt;=$B$7,1,IF(A31&gt;=$B$5,MIN(1,$B$4+$B$6*(A31-$B$5+1)),$B$4))</f>
        <v>0.01</v>
      </c>
      <c r="C31" s="65" t="n">
        <f aca="false">C30*(1-B30)</f>
        <v>0.895338254258716</v>
      </c>
      <c r="D31" s="71" t="n">
        <f aca="false">C31*B31</f>
        <v>0.00895338254258716</v>
      </c>
      <c r="E31" s="73" t="n">
        <f aca="false">A31*D31</f>
        <v>0.107440590511046</v>
      </c>
      <c r="F31" s="65" t="n">
        <f aca="false">SUM($D$20:D31)</f>
        <v>0.113615128283871</v>
      </c>
    </row>
    <row r="32" customFormat="false" ht="15" hidden="false" customHeight="false" outlineLevel="0" collapsed="false">
      <c r="A32" s="6" t="n">
        <v>13</v>
      </c>
      <c r="B32" s="65" t="n">
        <f aca="false">IF(A32&gt;=$B$7,1,IF(A32&gt;=$B$5,MIN(1,$B$4+$B$6*(A32-$B$5+1)),$B$4))</f>
        <v>0.01</v>
      </c>
      <c r="C32" s="65" t="n">
        <f aca="false">C31*(1-B31)</f>
        <v>0.886384871716129</v>
      </c>
      <c r="D32" s="71" t="n">
        <f aca="false">C32*B32</f>
        <v>0.00886384871716129</v>
      </c>
      <c r="E32" s="73" t="n">
        <f aca="false">A32*D32</f>
        <v>0.115230033323097</v>
      </c>
      <c r="F32" s="65" t="n">
        <f aca="false">SUM($D$20:D32)</f>
        <v>0.122478977001032</v>
      </c>
    </row>
    <row r="33" customFormat="false" ht="15" hidden="false" customHeight="false" outlineLevel="0" collapsed="false">
      <c r="A33" s="6" t="n">
        <v>14</v>
      </c>
      <c r="B33" s="65" t="n">
        <f aca="false">IF(A33&gt;=$B$7,1,IF(A33&gt;=$B$5,MIN(1,$B$4+$B$6*(A33-$B$5+1)),$B$4))</f>
        <v>0.01</v>
      </c>
      <c r="C33" s="65" t="n">
        <f aca="false">C32*(1-B32)</f>
        <v>0.877521022998968</v>
      </c>
      <c r="D33" s="71" t="n">
        <f aca="false">C33*B33</f>
        <v>0.00877521022998968</v>
      </c>
      <c r="E33" s="73" t="n">
        <f aca="false">A33*D33</f>
        <v>0.122852943219856</v>
      </c>
      <c r="F33" s="65" t="n">
        <f aca="false">SUM($D$20:D33)</f>
        <v>0.131254187231022</v>
      </c>
    </row>
    <row r="34" customFormat="false" ht="15" hidden="false" customHeight="false" outlineLevel="0" collapsed="false">
      <c r="A34" s="6" t="n">
        <v>15</v>
      </c>
      <c r="B34" s="65" t="n">
        <f aca="false">IF(A34&gt;=$B$7,1,IF(A34&gt;=$B$5,MIN(1,$B$4+$B$6*(A34-$B$5+1)),$B$4))</f>
        <v>0.01</v>
      </c>
      <c r="C34" s="65" t="n">
        <f aca="false">C33*(1-B33)</f>
        <v>0.868745812768978</v>
      </c>
      <c r="D34" s="71" t="n">
        <f aca="false">C34*B34</f>
        <v>0.00868745812768978</v>
      </c>
      <c r="E34" s="73" t="n">
        <f aca="false">A34*D34</f>
        <v>0.130311871915347</v>
      </c>
      <c r="F34" s="65" t="n">
        <f aca="false">SUM($D$20:D34)</f>
        <v>0.139941645358711</v>
      </c>
    </row>
    <row r="35" customFormat="false" ht="15" hidden="false" customHeight="false" outlineLevel="0" collapsed="false">
      <c r="A35" s="6" t="n">
        <v>16</v>
      </c>
      <c r="B35" s="65" t="n">
        <f aca="false">IF(A35&gt;=$B$7,1,IF(A35&gt;=$B$5,MIN(1,$B$4+$B$6*(A35-$B$5+1)),$B$4))</f>
        <v>0.01</v>
      </c>
      <c r="C35" s="65" t="n">
        <f aca="false">C34*(1-B34)</f>
        <v>0.860058354641288</v>
      </c>
      <c r="D35" s="71" t="n">
        <f aca="false">C35*B35</f>
        <v>0.00860058354641288</v>
      </c>
      <c r="E35" s="73" t="n">
        <f aca="false">A35*D35</f>
        <v>0.137609336742606</v>
      </c>
      <c r="F35" s="65" t="n">
        <f aca="false">SUM($D$20:D35)</f>
        <v>0.148542228905124</v>
      </c>
    </row>
    <row r="36" customFormat="false" ht="15" hidden="false" customHeight="false" outlineLevel="0" collapsed="false">
      <c r="A36" s="6" t="n">
        <v>17</v>
      </c>
      <c r="B36" s="65" t="n">
        <f aca="false">IF(A36&gt;=$B$7,1,IF(A36&gt;=$B$5,MIN(1,$B$4+$B$6*(A36-$B$5+1)),$B$4))</f>
        <v>0.01</v>
      </c>
      <c r="C36" s="65" t="n">
        <f aca="false">C35*(1-B35)</f>
        <v>0.851457771094875</v>
      </c>
      <c r="D36" s="71" t="n">
        <f aca="false">C36*B36</f>
        <v>0.00851457771094875</v>
      </c>
      <c r="E36" s="73" t="n">
        <f aca="false">A36*D36</f>
        <v>0.144747821086129</v>
      </c>
      <c r="F36" s="65" t="n">
        <f aca="false">SUM($D$20:D36)</f>
        <v>0.157056806616073</v>
      </c>
    </row>
    <row r="37" customFormat="false" ht="15" hidden="false" customHeight="false" outlineLevel="0" collapsed="false">
      <c r="A37" s="6" t="n">
        <v>18</v>
      </c>
      <c r="B37" s="65" t="n">
        <f aca="false">IF(A37&gt;=$B$7,1,IF(A37&gt;=$B$5,MIN(1,$B$4+$B$6*(A37-$B$5+1)),$B$4))</f>
        <v>0.01</v>
      </c>
      <c r="C37" s="65" t="n">
        <f aca="false">C36*(1-B36)</f>
        <v>0.842943193383927</v>
      </c>
      <c r="D37" s="71" t="n">
        <f aca="false">C37*B37</f>
        <v>0.00842943193383927</v>
      </c>
      <c r="E37" s="73" t="n">
        <f aca="false">A37*D37</f>
        <v>0.151729774809107</v>
      </c>
      <c r="F37" s="65" t="n">
        <f aca="false">SUM($D$20:D37)</f>
        <v>0.165486238549912</v>
      </c>
    </row>
    <row r="38" customFormat="false" ht="15" hidden="false" customHeight="false" outlineLevel="0" collapsed="false">
      <c r="A38" s="6" t="n">
        <v>19</v>
      </c>
      <c r="B38" s="65" t="n">
        <f aca="false">IF(A38&gt;=$B$7,1,IF(A38&gt;=$B$5,MIN(1,$B$4+$B$6*(A38-$B$5+1)),$B$4))</f>
        <v>0.01</v>
      </c>
      <c r="C38" s="65" t="n">
        <f aca="false">C37*(1-B37)</f>
        <v>0.834513761450087</v>
      </c>
      <c r="D38" s="71" t="n">
        <f aca="false">C38*B38</f>
        <v>0.00834513761450088</v>
      </c>
      <c r="E38" s="73" t="n">
        <f aca="false">A38*D38</f>
        <v>0.158557614675517</v>
      </c>
      <c r="F38" s="65" t="n">
        <f aca="false">SUM($D$20:D38)</f>
        <v>0.173831376164413</v>
      </c>
    </row>
    <row r="39" customFormat="false" ht="15" hidden="false" customHeight="false" outlineLevel="0" collapsed="false">
      <c r="A39" s="6" t="n">
        <v>20</v>
      </c>
      <c r="B39" s="65" t="n">
        <f aca="false">IF(A39&gt;=$B$7,1,IF(A39&gt;=$B$5,MIN(1,$B$4+$B$6*(A39-$B$5+1)),$B$4))</f>
        <v>0.01</v>
      </c>
      <c r="C39" s="65" t="n">
        <f aca="false">C38*(1-B38)</f>
        <v>0.826168623835587</v>
      </c>
      <c r="D39" s="71" t="n">
        <f aca="false">C39*B39</f>
        <v>0.00826168623835587</v>
      </c>
      <c r="E39" s="73" t="n">
        <f aca="false">A39*D39</f>
        <v>0.165233724767117</v>
      </c>
      <c r="F39" s="65" t="n">
        <f aca="false">SUM($D$20:D39)</f>
        <v>0.182093062402769</v>
      </c>
    </row>
    <row r="40" customFormat="false" ht="15" hidden="false" customHeight="false" outlineLevel="0" collapsed="false">
      <c r="A40" s="6" t="n">
        <v>21</v>
      </c>
      <c r="B40" s="65" t="n">
        <f aca="false">IF(A40&gt;=$B$7,1,IF(A40&gt;=$B$5,MIN(1,$B$4+$B$6*(A40-$B$5+1)),$B$4))</f>
        <v>0.01</v>
      </c>
      <c r="C40" s="65" t="n">
        <f aca="false">C39*(1-B39)</f>
        <v>0.817906937597231</v>
      </c>
      <c r="D40" s="71" t="n">
        <f aca="false">C40*B40</f>
        <v>0.00817906937597231</v>
      </c>
      <c r="E40" s="73" t="n">
        <f aca="false">A40*D40</f>
        <v>0.171760456895418</v>
      </c>
      <c r="F40" s="65" t="n">
        <f aca="false">SUM($D$20:D40)</f>
        <v>0.190272131778741</v>
      </c>
    </row>
    <row r="41" customFormat="false" ht="15" hidden="false" customHeight="false" outlineLevel="0" collapsed="false">
      <c r="A41" s="6" t="n">
        <v>22</v>
      </c>
      <c r="B41" s="65" t="n">
        <f aca="false">IF(A41&gt;=$B$7,1,IF(A41&gt;=$B$5,MIN(1,$B$4+$B$6*(A41-$B$5+1)),$B$4))</f>
        <v>0.01</v>
      </c>
      <c r="C41" s="65" t="n">
        <f aca="false">C40*(1-B40)</f>
        <v>0.809727868221258</v>
      </c>
      <c r="D41" s="71" t="n">
        <f aca="false">C41*B41</f>
        <v>0.00809727868221258</v>
      </c>
      <c r="E41" s="73" t="n">
        <f aca="false">A41*D41</f>
        <v>0.178140131008677</v>
      </c>
      <c r="F41" s="65" t="n">
        <f aca="false">SUM($D$20:D41)</f>
        <v>0.198369410460954</v>
      </c>
    </row>
    <row r="42" customFormat="false" ht="15" hidden="false" customHeight="false" outlineLevel="0" collapsed="false">
      <c r="A42" s="6" t="n">
        <v>23</v>
      </c>
      <c r="B42" s="65" t="n">
        <f aca="false">IF(A42&gt;=$B$7,1,IF(A42&gt;=$B$5,MIN(1,$B$4+$B$6*(A42-$B$5+1)),$B$4))</f>
        <v>0.01</v>
      </c>
      <c r="C42" s="65" t="n">
        <f aca="false">C41*(1-B41)</f>
        <v>0.801630589539046</v>
      </c>
      <c r="D42" s="71" t="n">
        <f aca="false">C42*B42</f>
        <v>0.00801630589539046</v>
      </c>
      <c r="E42" s="73" t="n">
        <f aca="false">A42*D42</f>
        <v>0.184375035593981</v>
      </c>
      <c r="F42" s="65" t="n">
        <f aca="false">SUM($D$20:D42)</f>
        <v>0.206385716356344</v>
      </c>
    </row>
    <row r="43" customFormat="false" ht="15" hidden="false" customHeight="false" outlineLevel="0" collapsed="false">
      <c r="A43" s="6" t="n">
        <v>24</v>
      </c>
      <c r="B43" s="65" t="n">
        <f aca="false">IF(A43&gt;=$B$7,1,IF(A43&gt;=$B$5,MIN(1,$B$4+$B$6*(A43-$B$5+1)),$B$4))</f>
        <v>0.01</v>
      </c>
      <c r="C43" s="65" t="n">
        <f aca="false">C42*(1-B42)</f>
        <v>0.793614283643655</v>
      </c>
      <c r="D43" s="71" t="n">
        <f aca="false">C43*B43</f>
        <v>0.00793614283643655</v>
      </c>
      <c r="E43" s="73" t="n">
        <f aca="false">A43*D43</f>
        <v>0.190467428074477</v>
      </c>
      <c r="F43" s="65" t="n">
        <f aca="false">SUM($D$20:D43)</f>
        <v>0.214321859192781</v>
      </c>
    </row>
    <row r="44" customFormat="false" ht="15" hidden="false" customHeight="false" outlineLevel="0" collapsed="false">
      <c r="A44" s="6" t="n">
        <v>25</v>
      </c>
      <c r="B44" s="65" t="n">
        <f aca="false">IF(A44&gt;=$B$7,1,IF(A44&gt;=$B$5,MIN(1,$B$4+$B$6*(A44-$B$5+1)),$B$4))</f>
        <v>0.01</v>
      </c>
      <c r="C44" s="65" t="n">
        <f aca="false">C43*(1-B43)</f>
        <v>0.785678140807219</v>
      </c>
      <c r="D44" s="71" t="n">
        <f aca="false">C44*B44</f>
        <v>0.00785678140807219</v>
      </c>
      <c r="E44" s="73" t="n">
        <f aca="false">A44*D44</f>
        <v>0.196419535201805</v>
      </c>
      <c r="F44" s="65" t="n">
        <f aca="false">SUM($D$20:D44)</f>
        <v>0.222178640600853</v>
      </c>
    </row>
    <row r="45" customFormat="false" ht="15" hidden="false" customHeight="false" outlineLevel="0" collapsed="false">
      <c r="A45" s="6" t="n">
        <v>26</v>
      </c>
      <c r="B45" s="65" t="n">
        <f aca="false">IF(A45&gt;=$B$7,1,IF(A45&gt;=$B$5,MIN(1,$B$4+$B$6*(A45-$B$5+1)),$B$4))</f>
        <v>0.01</v>
      </c>
      <c r="C45" s="65" t="n">
        <f aca="false">C44*(1-B44)</f>
        <v>0.777821359399147</v>
      </c>
      <c r="D45" s="71" t="n">
        <f aca="false">C45*B45</f>
        <v>0.00777821359399147</v>
      </c>
      <c r="E45" s="73" t="n">
        <f aca="false">A45*D45</f>
        <v>0.202233553443778</v>
      </c>
      <c r="F45" s="65" t="n">
        <f aca="false">SUM($D$20:D45)</f>
        <v>0.229956854194845</v>
      </c>
    </row>
    <row r="46" customFormat="false" ht="15" hidden="false" customHeight="false" outlineLevel="0" collapsed="false">
      <c r="A46" s="6" t="n">
        <v>27</v>
      </c>
      <c r="B46" s="65" t="n">
        <f aca="false">IF(A46&gt;=$B$7,1,IF(A46&gt;=$B$5,MIN(1,$B$4+$B$6*(A46-$B$5+1)),$B$4))</f>
        <v>0.01</v>
      </c>
      <c r="C46" s="65" t="n">
        <f aca="false">C45*(1-B45)</f>
        <v>0.770043145805155</v>
      </c>
      <c r="D46" s="71" t="n">
        <f aca="false">C46*B46</f>
        <v>0.00770043145805155</v>
      </c>
      <c r="E46" s="73" t="n">
        <f aca="false">A46*D46</f>
        <v>0.207911649367392</v>
      </c>
      <c r="F46" s="65" t="n">
        <f aca="false">SUM($D$20:D46)</f>
        <v>0.237657285652896</v>
      </c>
    </row>
    <row r="47" customFormat="false" ht="15" hidden="false" customHeight="false" outlineLevel="0" collapsed="false">
      <c r="A47" s="6" t="n">
        <v>28</v>
      </c>
      <c r="B47" s="65" t="n">
        <f aca="false">IF(A47&gt;=$B$7,1,IF(A47&gt;=$B$5,MIN(1,$B$4+$B$6*(A47-$B$5+1)),$B$4))</f>
        <v>0.01</v>
      </c>
      <c r="C47" s="65" t="n">
        <f aca="false">C46*(1-B46)</f>
        <v>0.762342714347104</v>
      </c>
      <c r="D47" s="71" t="n">
        <f aca="false">C47*B47</f>
        <v>0.00762342714347104</v>
      </c>
      <c r="E47" s="73" t="n">
        <f aca="false">A47*D47</f>
        <v>0.213455960017189</v>
      </c>
      <c r="F47" s="65" t="n">
        <f aca="false">SUM($D$20:D47)</f>
        <v>0.245280712796367</v>
      </c>
    </row>
    <row r="48" customFormat="false" ht="15" hidden="false" customHeight="false" outlineLevel="0" collapsed="false">
      <c r="A48" s="6" t="n">
        <v>29</v>
      </c>
      <c r="B48" s="65" t="n">
        <f aca="false">IF(A48&gt;=$B$7,1,IF(A48&gt;=$B$5,MIN(1,$B$4+$B$6*(A48-$B$5+1)),$B$4))</f>
        <v>0.01</v>
      </c>
      <c r="C48" s="65" t="n">
        <f aca="false">C47*(1-B47)</f>
        <v>0.754719287203633</v>
      </c>
      <c r="D48" s="71" t="n">
        <f aca="false">C48*B48</f>
        <v>0.00754719287203632</v>
      </c>
      <c r="E48" s="73" t="n">
        <f aca="false">A48*D48</f>
        <v>0.218868593289053</v>
      </c>
      <c r="F48" s="65" t="n">
        <f aca="false">SUM($D$20:D48)</f>
        <v>0.252827905668404</v>
      </c>
    </row>
    <row r="49" customFormat="false" ht="15" hidden="false" customHeight="false" outlineLevel="0" collapsed="false">
      <c r="A49" s="6" t="n">
        <v>30</v>
      </c>
      <c r="B49" s="65" t="n">
        <f aca="false">IF(A49&gt;=$B$7,1,IF(A49&gt;=$B$5,MIN(1,$B$4+$B$6*(A49-$B$5+1)),$B$4))</f>
        <v>0.01</v>
      </c>
      <c r="C49" s="65" t="n">
        <f aca="false">C48*(1-B48)</f>
        <v>0.747172094331596</v>
      </c>
      <c r="D49" s="71" t="n">
        <f aca="false">C49*B49</f>
        <v>0.00747172094331596</v>
      </c>
      <c r="E49" s="73" t="n">
        <f aca="false">A49*D49</f>
        <v>0.224151628299479</v>
      </c>
      <c r="F49" s="65" t="n">
        <f aca="false">SUM($D$20:D49)</f>
        <v>0.26029962661172</v>
      </c>
    </row>
    <row r="50" customFormat="false" ht="15" hidden="false" customHeight="false" outlineLevel="0" collapsed="false">
      <c r="A50" s="6" t="n">
        <v>31</v>
      </c>
      <c r="B50" s="65" t="n">
        <f aca="false">IF(A50&gt;=$B$7,1,IF(A50&gt;=$B$5,MIN(1,$B$4+$B$6*(A50-$B$5+1)),$B$4))</f>
        <v>0.01</v>
      </c>
      <c r="C50" s="65" t="n">
        <f aca="false">C49*(1-B49)</f>
        <v>0.73970037338828</v>
      </c>
      <c r="D50" s="71" t="n">
        <f aca="false">C50*B50</f>
        <v>0.0073970037338828</v>
      </c>
      <c r="E50" s="73" t="n">
        <f aca="false">A50*D50</f>
        <v>0.229307115750367</v>
      </c>
      <c r="F50" s="65" t="n">
        <f aca="false">SUM($D$20:D50)</f>
        <v>0.267696630345602</v>
      </c>
    </row>
    <row r="51" customFormat="false" ht="15" hidden="false" customHeight="false" outlineLevel="0" collapsed="false">
      <c r="A51" s="6" t="n">
        <v>32</v>
      </c>
      <c r="B51" s="65" t="n">
        <f aca="false">IF(A51&gt;=$B$7,1,IF(A51&gt;=$B$5,MIN(1,$B$4+$B$6*(A51-$B$5+1)),$B$4))</f>
        <v>0.01</v>
      </c>
      <c r="C51" s="65" t="n">
        <f aca="false">C50*(1-B50)</f>
        <v>0.732303369654397</v>
      </c>
      <c r="D51" s="71" t="n">
        <f aca="false">C51*B51</f>
        <v>0.00732303369654397</v>
      </c>
      <c r="E51" s="73" t="n">
        <f aca="false">A51*D51</f>
        <v>0.234337078289407</v>
      </c>
      <c r="F51" s="65" t="n">
        <f aca="false">SUM($D$20:D51)</f>
        <v>0.275019664042146</v>
      </c>
    </row>
    <row r="52" customFormat="false" ht="15" hidden="false" customHeight="false" outlineLevel="0" collapsed="false">
      <c r="A52" s="6" t="n">
        <v>33</v>
      </c>
      <c r="B52" s="65" t="n">
        <f aca="false">IF(A52&gt;=$B$7,1,IF(A52&gt;=$B$5,MIN(1,$B$4+$B$6*(A52-$B$5+1)),$B$4))</f>
        <v>0.01</v>
      </c>
      <c r="C52" s="65" t="n">
        <f aca="false">C51*(1-B51)</f>
        <v>0.724980335957853</v>
      </c>
      <c r="D52" s="71" t="n">
        <f aca="false">C52*B52</f>
        <v>0.00724980335957853</v>
      </c>
      <c r="E52" s="73" t="n">
        <f aca="false">A52*D52</f>
        <v>0.239243510866092</v>
      </c>
      <c r="F52" s="65" t="n">
        <f aca="false">SUM($D$20:D52)</f>
        <v>0.282269467401725</v>
      </c>
    </row>
    <row r="53" customFormat="false" ht="15" hidden="false" customHeight="false" outlineLevel="0" collapsed="false">
      <c r="A53" s="6" t="n">
        <v>34</v>
      </c>
      <c r="B53" s="65" t="n">
        <f aca="false">IF(A53&gt;=$B$7,1,IF(A53&gt;=$B$5,MIN(1,$B$4+$B$6*(A53-$B$5+1)),$B$4))</f>
        <v>0.01</v>
      </c>
      <c r="C53" s="65" t="n">
        <f aca="false">C52*(1-B52)</f>
        <v>0.717730532598275</v>
      </c>
      <c r="D53" s="71" t="n">
        <f aca="false">C53*B53</f>
        <v>0.00717730532598275</v>
      </c>
      <c r="E53" s="73" t="n">
        <f aca="false">A53*D53</f>
        <v>0.244028381083413</v>
      </c>
      <c r="F53" s="65" t="n">
        <f aca="false">SUM($D$20:D53)</f>
        <v>0.289446772727708</v>
      </c>
    </row>
    <row r="54" customFormat="false" ht="15" hidden="false" customHeight="false" outlineLevel="0" collapsed="false">
      <c r="A54" s="6" t="n">
        <v>35</v>
      </c>
      <c r="B54" s="65" t="n">
        <f aca="false">IF(A54&gt;=$B$7,1,IF(A54&gt;=$B$5,MIN(1,$B$4+$B$6*(A54-$B$5+1)),$B$4))</f>
        <v>0.01</v>
      </c>
      <c r="C54" s="65" t="n">
        <f aca="false">C53*(1-B53)</f>
        <v>0.710553227272292</v>
      </c>
      <c r="D54" s="71" t="n">
        <f aca="false">C54*B54</f>
        <v>0.00710553227272292</v>
      </c>
      <c r="E54" s="73" t="n">
        <f aca="false">A54*D54</f>
        <v>0.248693629545302</v>
      </c>
      <c r="F54" s="65" t="n">
        <f aca="false">SUM($D$20:D54)</f>
        <v>0.296552305000431</v>
      </c>
    </row>
    <row r="55" customFormat="false" ht="15" hidden="false" customHeight="false" outlineLevel="0" collapsed="false">
      <c r="A55" s="6" t="n">
        <v>36</v>
      </c>
      <c r="B55" s="65" t="n">
        <f aca="false">IF(A55&gt;=$B$7,1,IF(A55&gt;=$B$5,MIN(1,$B$4+$B$6*(A55-$B$5+1)),$B$4))</f>
        <v>0.01</v>
      </c>
      <c r="C55" s="65" t="n">
        <f aca="false">C54*(1-B54)</f>
        <v>0.703447694999569</v>
      </c>
      <c r="D55" s="71" t="n">
        <f aca="false">C55*B55</f>
        <v>0.00703447694999569</v>
      </c>
      <c r="E55" s="73" t="n">
        <f aca="false">A55*D55</f>
        <v>0.253241170199845</v>
      </c>
      <c r="F55" s="65" t="n">
        <f aca="false">SUM($D$20:D55)</f>
        <v>0.303586781950426</v>
      </c>
    </row>
    <row r="56" customFormat="false" ht="15" hidden="false" customHeight="false" outlineLevel="0" collapsed="false">
      <c r="A56" s="6" t="n">
        <v>37</v>
      </c>
      <c r="B56" s="65" t="n">
        <f aca="false">IF(A56&gt;=$B$7,1,IF(A56&gt;=$B$5,MIN(1,$B$4+$B$6*(A56-$B$5+1)),$B$4))</f>
        <v>0.01</v>
      </c>
      <c r="C56" s="65" t="n">
        <f aca="false">C55*(1-B55)</f>
        <v>0.696413218049574</v>
      </c>
      <c r="D56" s="71" t="n">
        <f aca="false">C56*B56</f>
        <v>0.00696413218049573</v>
      </c>
      <c r="E56" s="73" t="n">
        <f aca="false">A56*D56</f>
        <v>0.257672890678342</v>
      </c>
      <c r="F56" s="65" t="n">
        <f aca="false">SUM($D$20:D56)</f>
        <v>0.310550914130922</v>
      </c>
    </row>
    <row r="57" customFormat="false" ht="15" hidden="false" customHeight="false" outlineLevel="0" collapsed="false">
      <c r="A57" s="6" t="n">
        <v>38</v>
      </c>
      <c r="B57" s="65" t="n">
        <f aca="false">IF(A57&gt;=$B$7,1,IF(A57&gt;=$B$5,MIN(1,$B$4+$B$6*(A57-$B$5+1)),$B$4))</f>
        <v>0.01</v>
      </c>
      <c r="C57" s="65" t="n">
        <f aca="false">C56*(1-B56)</f>
        <v>0.689449085869078</v>
      </c>
      <c r="D57" s="71" t="n">
        <f aca="false">C57*B57</f>
        <v>0.00689449085869078</v>
      </c>
      <c r="E57" s="73" t="n">
        <f aca="false">A57*D57</f>
        <v>0.26199065263025</v>
      </c>
      <c r="F57" s="65" t="n">
        <f aca="false">SUM($D$20:D57)</f>
        <v>0.317445404989613</v>
      </c>
    </row>
    <row r="58" customFormat="false" ht="15" hidden="false" customHeight="false" outlineLevel="0" collapsed="false">
      <c r="A58" s="6" t="n">
        <v>39</v>
      </c>
      <c r="B58" s="65" t="n">
        <f aca="false">IF(A58&gt;=$B$7,1,IF(A58&gt;=$B$5,MIN(1,$B$4+$B$6*(A58-$B$5+1)),$B$4))</f>
        <v>0.01</v>
      </c>
      <c r="C58" s="65" t="n">
        <f aca="false">C57*(1-B57)</f>
        <v>0.682554595010387</v>
      </c>
      <c r="D58" s="71" t="n">
        <f aca="false">C58*B58</f>
        <v>0.00682554595010387</v>
      </c>
      <c r="E58" s="73" t="n">
        <f aca="false">A58*D58</f>
        <v>0.266196292054051</v>
      </c>
      <c r="F58" s="65" t="n">
        <f aca="false">SUM($D$20:D58)</f>
        <v>0.324270950939717</v>
      </c>
    </row>
    <row r="59" customFormat="false" ht="15" hidden="false" customHeight="false" outlineLevel="0" collapsed="false">
      <c r="A59" s="6" t="n">
        <v>40</v>
      </c>
      <c r="B59" s="65" t="n">
        <f aca="false">IF(A59&gt;=$B$7,1,IF(A59&gt;=$B$5,MIN(1,$B$4+$B$6*(A59-$B$5+1)),$B$4))</f>
        <v>0.05</v>
      </c>
      <c r="C59" s="65" t="n">
        <f aca="false">C58*(1-B58)</f>
        <v>0.675729049060283</v>
      </c>
      <c r="D59" s="71" t="n">
        <f aca="false">C59*B59</f>
        <v>0.0337864524530142</v>
      </c>
      <c r="E59" s="73" t="n">
        <f aca="false">A59*D59</f>
        <v>1.35145809812057</v>
      </c>
      <c r="F59" s="65" t="n">
        <f aca="false">SUM($D$20:D59)</f>
        <v>0.358057403392731</v>
      </c>
    </row>
    <row r="60" customFormat="false" ht="15" hidden="false" customHeight="false" outlineLevel="0" collapsed="false">
      <c r="A60" s="6" t="n">
        <v>41</v>
      </c>
      <c r="B60" s="65" t="n">
        <f aca="false">IF(A60&gt;=$B$7,1,IF(A60&gt;=$B$5,MIN(1,$B$4+$B$6*(A60-$B$5+1)),$B$4))</f>
        <v>0.09</v>
      </c>
      <c r="C60" s="65" t="n">
        <f aca="false">C59*(1-B59)</f>
        <v>0.641942596607269</v>
      </c>
      <c r="D60" s="71" t="n">
        <f aca="false">C60*B60</f>
        <v>0.0577748336946542</v>
      </c>
      <c r="E60" s="73" t="n">
        <f aca="false">A60*D60</f>
        <v>2.36876818148082</v>
      </c>
      <c r="F60" s="65" t="n">
        <f aca="false">SUM($D$20:D60)</f>
        <v>0.415832237087385</v>
      </c>
    </row>
    <row r="61" customFormat="false" ht="15" hidden="false" customHeight="false" outlineLevel="0" collapsed="false">
      <c r="A61" s="6" t="n">
        <v>42</v>
      </c>
      <c r="B61" s="65" t="n">
        <f aca="false">IF(A61&gt;=$B$7,1,IF(A61&gt;=$B$5,MIN(1,$B$4+$B$6*(A61-$B$5+1)),$B$4))</f>
        <v>0.13</v>
      </c>
      <c r="C61" s="65" t="n">
        <f aca="false">C60*(1-B60)</f>
        <v>0.584167762912615</v>
      </c>
      <c r="D61" s="71" t="n">
        <f aca="false">C61*B61</f>
        <v>0.0759418091786399</v>
      </c>
      <c r="E61" s="73" t="n">
        <f aca="false">A61*D61</f>
        <v>3.18955598550288</v>
      </c>
      <c r="F61" s="65" t="n">
        <f aca="false">SUM($D$20:D61)</f>
        <v>0.491774046266025</v>
      </c>
    </row>
    <row r="62" customFormat="false" ht="15" hidden="false" customHeight="false" outlineLevel="0" collapsed="false">
      <c r="A62" s="6" t="n">
        <v>43</v>
      </c>
      <c r="B62" s="65" t="n">
        <f aca="false">IF(A62&gt;=$B$7,1,IF(A62&gt;=$B$5,MIN(1,$B$4+$B$6*(A62-$B$5+1)),$B$4))</f>
        <v>0.17</v>
      </c>
      <c r="C62" s="65" t="n">
        <f aca="false">C61*(1-B61)</f>
        <v>0.508225953733975</v>
      </c>
      <c r="D62" s="71" t="n">
        <f aca="false">C62*B62</f>
        <v>0.0863984121347757</v>
      </c>
      <c r="E62" s="73" t="n">
        <f aca="false">A62*D62</f>
        <v>3.71513172179536</v>
      </c>
      <c r="F62" s="65" t="n">
        <f aca="false">SUM($D$20:D62)</f>
        <v>0.578172458400801</v>
      </c>
    </row>
    <row r="63" customFormat="false" ht="15" hidden="false" customHeight="false" outlineLevel="0" collapsed="false">
      <c r="A63" s="6" t="n">
        <v>44</v>
      </c>
      <c r="B63" s="65" t="n">
        <f aca="false">IF(A63&gt;=$B$7,1,IF(A63&gt;=$B$5,MIN(1,$B$4+$B$6*(A63-$B$5+1)),$B$4))</f>
        <v>0.21</v>
      </c>
      <c r="C63" s="65" t="n">
        <f aca="false">C62*(1-B62)</f>
        <v>0.421827541599199</v>
      </c>
      <c r="D63" s="71" t="n">
        <f aca="false">C63*B63</f>
        <v>0.0885837837358318</v>
      </c>
      <c r="E63" s="73" t="n">
        <f aca="false">A63*D63</f>
        <v>3.8976864843766</v>
      </c>
      <c r="F63" s="65" t="n">
        <f aca="false">SUM($D$20:D63)</f>
        <v>0.666756242136632</v>
      </c>
    </row>
    <row r="64" customFormat="false" ht="15" hidden="false" customHeight="false" outlineLevel="0" collapsed="false">
      <c r="A64" s="6" t="n">
        <v>45</v>
      </c>
      <c r="B64" s="65" t="n">
        <f aca="false">IF(A64&gt;=$B$7,1,IF(A64&gt;=$B$5,MIN(1,$B$4+$B$6*(A64-$B$5+1)),$B$4))</f>
        <v>0.25</v>
      </c>
      <c r="C64" s="65" t="n">
        <f aca="false">C63*(1-B63)</f>
        <v>0.333243757863367</v>
      </c>
      <c r="D64" s="71" t="n">
        <f aca="false">C64*B64</f>
        <v>0.0833109394658418</v>
      </c>
      <c r="E64" s="73" t="n">
        <f aca="false">A64*D64</f>
        <v>3.74899227596288</v>
      </c>
      <c r="F64" s="65" t="n">
        <f aca="false">SUM($D$20:D64)</f>
        <v>0.750067181602474</v>
      </c>
    </row>
    <row r="65" customFormat="false" ht="15" hidden="false" customHeight="false" outlineLevel="0" collapsed="false">
      <c r="A65" s="6" t="n">
        <v>46</v>
      </c>
      <c r="B65" s="65" t="n">
        <f aca="false">IF(A65&gt;=$B$7,1,IF(A65&gt;=$B$5,MIN(1,$B$4+$B$6*(A65-$B$5+1)),$B$4))</f>
        <v>0.29</v>
      </c>
      <c r="C65" s="65" t="n">
        <f aca="false">C64*(1-B64)</f>
        <v>0.249932818397525</v>
      </c>
      <c r="D65" s="71" t="n">
        <f aca="false">C65*B65</f>
        <v>0.0724805173352824</v>
      </c>
      <c r="E65" s="73" t="n">
        <f aca="false">A65*D65</f>
        <v>3.33410379742299</v>
      </c>
      <c r="F65" s="65" t="n">
        <f aca="false">SUM($D$20:D65)</f>
        <v>0.822547698937757</v>
      </c>
    </row>
    <row r="66" customFormat="false" ht="15" hidden="false" customHeight="false" outlineLevel="0" collapsed="false">
      <c r="A66" s="6" t="n">
        <v>47</v>
      </c>
      <c r="B66" s="65" t="n">
        <f aca="false">IF(A66&gt;=$B$7,1,IF(A66&gt;=$B$5,MIN(1,$B$4+$B$6*(A66-$B$5+1)),$B$4))</f>
        <v>0.33</v>
      </c>
      <c r="C66" s="65" t="n">
        <f aca="false">C65*(1-B65)</f>
        <v>0.177452301062243</v>
      </c>
      <c r="D66" s="71" t="n">
        <f aca="false">C66*B66</f>
        <v>0.0585592593505402</v>
      </c>
      <c r="E66" s="73" t="n">
        <f aca="false">A66*D66</f>
        <v>2.75228518947539</v>
      </c>
      <c r="F66" s="65" t="n">
        <f aca="false">SUM($D$20:D66)</f>
        <v>0.881106958288297</v>
      </c>
    </row>
    <row r="67" customFormat="false" ht="15" hidden="false" customHeight="false" outlineLevel="0" collapsed="false">
      <c r="A67" s="6" t="n">
        <v>48</v>
      </c>
      <c r="B67" s="65" t="n">
        <f aca="false">IF(A67&gt;=$B$7,1,IF(A67&gt;=$B$5,MIN(1,$B$4+$B$6*(A67-$B$5+1)),$B$4))</f>
        <v>0.37</v>
      </c>
      <c r="C67" s="65" t="n">
        <f aca="false">C66*(1-B66)</f>
        <v>0.118893041711703</v>
      </c>
      <c r="D67" s="71" t="n">
        <f aca="false">C67*B67</f>
        <v>0.0439904254333301</v>
      </c>
      <c r="E67" s="73" t="n">
        <f aca="false">A67*D67</f>
        <v>2.11154042079984</v>
      </c>
      <c r="F67" s="65" t="n">
        <f aca="false">SUM($D$20:D67)</f>
        <v>0.925097383721627</v>
      </c>
    </row>
    <row r="68" customFormat="false" ht="15" hidden="false" customHeight="false" outlineLevel="0" collapsed="false">
      <c r="A68" s="6" t="n">
        <v>49</v>
      </c>
      <c r="B68" s="65" t="n">
        <f aca="false">IF(A68&gt;=$B$7,1,IF(A68&gt;=$B$5,MIN(1,$B$4+$B$6*(A68-$B$5+1)),$B$4))</f>
        <v>0.41</v>
      </c>
      <c r="C68" s="65" t="n">
        <f aca="false">C67*(1-B67)</f>
        <v>0.0749026162783728</v>
      </c>
      <c r="D68" s="71" t="n">
        <f aca="false">C68*B68</f>
        <v>0.0307100726741329</v>
      </c>
      <c r="E68" s="73" t="n">
        <f aca="false">A68*D68</f>
        <v>1.50479356103251</v>
      </c>
      <c r="F68" s="65" t="n">
        <f aca="false">SUM($D$20:D68)</f>
        <v>0.95580745639576</v>
      </c>
    </row>
    <row r="69" customFormat="false" ht="15" hidden="false" customHeight="false" outlineLevel="0" collapsed="false">
      <c r="A69" s="6" t="n">
        <v>50</v>
      </c>
      <c r="B69" s="65" t="n">
        <f aca="false">IF(A69&gt;=$B$7,1,IF(A69&gt;=$B$5,MIN(1,$B$4+$B$6*(A69-$B$5+1)),$B$4))</f>
        <v>0.45</v>
      </c>
      <c r="C69" s="65" t="n">
        <f aca="false">C68*(1-B68)</f>
        <v>0.04419254360424</v>
      </c>
      <c r="D69" s="71" t="n">
        <f aca="false">C69*B69</f>
        <v>0.019886644621908</v>
      </c>
      <c r="E69" s="73" t="n">
        <f aca="false">A69*D69</f>
        <v>0.994332231095399</v>
      </c>
      <c r="F69" s="65" t="n">
        <f aca="false">SUM($D$20:D69)</f>
        <v>0.975694101017668</v>
      </c>
    </row>
    <row r="70" customFormat="false" ht="15" hidden="false" customHeight="false" outlineLevel="0" collapsed="false">
      <c r="A70" s="6" t="n">
        <v>51</v>
      </c>
      <c r="B70" s="65" t="n">
        <f aca="false">IF(A70&gt;=$B$7,1,IF(A70&gt;=$B$5,MIN(1,$B$4+$B$6*(A70-$B$5+1)),$B$4))</f>
        <v>0.49</v>
      </c>
      <c r="C70" s="65" t="n">
        <f aca="false">C69*(1-B69)</f>
        <v>0.024305898982332</v>
      </c>
      <c r="D70" s="71" t="n">
        <f aca="false">C70*B70</f>
        <v>0.0119098905013427</v>
      </c>
      <c r="E70" s="73" t="n">
        <f aca="false">A70*D70</f>
        <v>0.607404415568476</v>
      </c>
      <c r="F70" s="65" t="n">
        <f aca="false">SUM($D$20:D70)</f>
        <v>0.987603991519011</v>
      </c>
    </row>
    <row r="71" customFormat="false" ht="15" hidden="false" customHeight="false" outlineLevel="0" collapsed="false">
      <c r="A71" s="6" t="n">
        <v>52</v>
      </c>
      <c r="B71" s="65" t="n">
        <f aca="false">IF(A71&gt;=$B$7,1,IF(A71&gt;=$B$5,MIN(1,$B$4+$B$6*(A71-$B$5+1)),$B$4))</f>
        <v>0.53</v>
      </c>
      <c r="C71" s="65" t="n">
        <f aca="false">C70*(1-B70)</f>
        <v>0.0123960084809893</v>
      </c>
      <c r="D71" s="71" t="n">
        <f aca="false">C71*B71</f>
        <v>0.00656988449492433</v>
      </c>
      <c r="E71" s="73" t="n">
        <f aca="false">A71*D71</f>
        <v>0.341633993736065</v>
      </c>
      <c r="F71" s="65" t="n">
        <f aca="false">SUM($D$20:D71)</f>
        <v>0.994173876013935</v>
      </c>
    </row>
    <row r="72" customFormat="false" ht="15" hidden="false" customHeight="false" outlineLevel="0" collapsed="false">
      <c r="A72" s="6" t="n">
        <v>53</v>
      </c>
      <c r="B72" s="65" t="n">
        <f aca="false">IF(A72&gt;=$B$7,1,IF(A72&gt;=$B$5,MIN(1,$B$4+$B$6*(A72-$B$5+1)),$B$4))</f>
        <v>0.57</v>
      </c>
      <c r="C72" s="65" t="n">
        <f aca="false">C71*(1-B71)</f>
        <v>0.00582612398606497</v>
      </c>
      <c r="D72" s="71" t="n">
        <f aca="false">C72*B72</f>
        <v>0.00332089067205704</v>
      </c>
      <c r="E72" s="73" t="n">
        <f aca="false">A72*D72</f>
        <v>0.176007205619023</v>
      </c>
      <c r="F72" s="65" t="n">
        <f aca="false">SUM($D$20:D72)</f>
        <v>0.997494766685992</v>
      </c>
    </row>
    <row r="73" customFormat="false" ht="15" hidden="false" customHeight="false" outlineLevel="0" collapsed="false">
      <c r="A73" s="6" t="n">
        <v>54</v>
      </c>
      <c r="B73" s="65" t="n">
        <f aca="false">IF(A73&gt;=$B$7,1,IF(A73&gt;=$B$5,MIN(1,$B$4+$B$6*(A73-$B$5+1)),$B$4))</f>
        <v>0.61</v>
      </c>
      <c r="C73" s="65" t="n">
        <f aca="false">C72*(1-B72)</f>
        <v>0.00250523331400794</v>
      </c>
      <c r="D73" s="71" t="n">
        <f aca="false">C73*B73</f>
        <v>0.00152819232154484</v>
      </c>
      <c r="E73" s="73" t="n">
        <f aca="false">A73*D73</f>
        <v>0.0825223853634215</v>
      </c>
      <c r="F73" s="65" t="n">
        <f aca="false">SUM($D$20:D73)</f>
        <v>0.999022959007537</v>
      </c>
    </row>
    <row r="74" customFormat="false" ht="15" hidden="false" customHeight="false" outlineLevel="0" collapsed="false">
      <c r="A74" s="6" t="n">
        <v>55</v>
      </c>
      <c r="B74" s="65" t="n">
        <f aca="false">IF(A74&gt;=$B$7,1,IF(A74&gt;=$B$5,MIN(1,$B$4+$B$6*(A74-$B$5+1)),$B$4))</f>
        <v>0.65</v>
      </c>
      <c r="C74" s="65" t="n">
        <f aca="false">C73*(1-B73)</f>
        <v>0.000977040992463096</v>
      </c>
      <c r="D74" s="71" t="n">
        <f aca="false">C74*B74</f>
        <v>0.000635076645101013</v>
      </c>
      <c r="E74" s="73" t="n">
        <f aca="false">A74*D74</f>
        <v>0.0349292154805557</v>
      </c>
      <c r="F74" s="65" t="n">
        <f aca="false">SUM($D$20:D74)</f>
        <v>0.999658035652638</v>
      </c>
    </row>
    <row r="75" customFormat="false" ht="15" hidden="false" customHeight="false" outlineLevel="0" collapsed="false">
      <c r="A75" s="6" t="n">
        <v>56</v>
      </c>
      <c r="B75" s="65" t="n">
        <f aca="false">IF(A75&gt;=$B$7,1,IF(A75&gt;=$B$5,MIN(1,$B$4+$B$6*(A75-$B$5+1)),$B$4))</f>
        <v>0.69</v>
      </c>
      <c r="C75" s="65" t="n">
        <f aca="false">C74*(1-B74)</f>
        <v>0.000341964347362084</v>
      </c>
      <c r="D75" s="71" t="n">
        <f aca="false">C75*B75</f>
        <v>0.000235955399679838</v>
      </c>
      <c r="E75" s="73" t="n">
        <f aca="false">A75*D75</f>
        <v>0.0132135023820709</v>
      </c>
      <c r="F75" s="65" t="n">
        <f aca="false">SUM($D$20:D75)</f>
        <v>0.999893991052318</v>
      </c>
    </row>
    <row r="76" customFormat="false" ht="15" hidden="false" customHeight="false" outlineLevel="0" collapsed="false">
      <c r="A76" s="6" t="n">
        <v>57</v>
      </c>
      <c r="B76" s="65" t="n">
        <f aca="false">IF(A76&gt;=$B$7,1,IF(A76&gt;=$B$5,MIN(1,$B$4+$B$6*(A76-$B$5+1)),$B$4))</f>
        <v>0.73</v>
      </c>
      <c r="C76" s="65" t="n">
        <f aca="false">C75*(1-B75)</f>
        <v>0.000106008947682246</v>
      </c>
      <c r="D76" s="71" t="n">
        <f aca="false">C76*B76</f>
        <v>7.73865318080395E-005</v>
      </c>
      <c r="E76" s="73" t="n">
        <f aca="false">A76*D76</f>
        <v>0.00441103231305825</v>
      </c>
      <c r="F76" s="65" t="n">
        <f aca="false">SUM($D$20:D76)</f>
        <v>0.999971377584126</v>
      </c>
    </row>
    <row r="77" customFormat="false" ht="15" hidden="false" customHeight="false" outlineLevel="0" collapsed="false">
      <c r="A77" s="6" t="n">
        <v>58</v>
      </c>
      <c r="B77" s="65" t="n">
        <f aca="false">IF(A77&gt;=$B$7,1,IF(A77&gt;=$B$5,MIN(1,$B$4+$B$6*(A77-$B$5+1)),$B$4))</f>
        <v>0.77</v>
      </c>
      <c r="C77" s="65" t="n">
        <f aca="false">C76*(1-B76)</f>
        <v>2.86224158742064E-005</v>
      </c>
      <c r="D77" s="71" t="n">
        <f aca="false">C77*B77</f>
        <v>2.20392602231389E-005</v>
      </c>
      <c r="E77" s="73" t="n">
        <f aca="false">A77*D77</f>
        <v>0.00127827709294206</v>
      </c>
      <c r="F77" s="65" t="n">
        <f aca="false">SUM($D$20:D77)</f>
        <v>0.999993416844349</v>
      </c>
    </row>
    <row r="78" customFormat="false" ht="15" hidden="false" customHeight="false" outlineLevel="0" collapsed="false">
      <c r="A78" s="6" t="n">
        <v>59</v>
      </c>
      <c r="B78" s="65" t="n">
        <f aca="false">IF(A78&gt;=$B$7,1,IF(A78&gt;=$B$5,MIN(1,$B$4+$B$6*(A78-$B$5+1)),$B$4))</f>
        <v>0.81</v>
      </c>
      <c r="C78" s="65" t="n">
        <f aca="false">C77*(1-B77)</f>
        <v>6.58315565106747E-006</v>
      </c>
      <c r="D78" s="71" t="n">
        <f aca="false">C78*B78</f>
        <v>5.33235607736465E-006</v>
      </c>
      <c r="E78" s="73" t="n">
        <f aca="false">A78*D78</f>
        <v>0.000314609008564514</v>
      </c>
      <c r="F78" s="65" t="n">
        <f aca="false">SUM($D$20:D78)</f>
        <v>0.999998749200426</v>
      </c>
    </row>
    <row r="79" customFormat="false" ht="15" hidden="false" customHeight="false" outlineLevel="0" collapsed="false">
      <c r="A79" s="6" t="n">
        <v>60</v>
      </c>
      <c r="B79" s="65" t="n">
        <f aca="false">IF(A79&gt;=$B$7,1,IF(A79&gt;=$B$5,MIN(1,$B$4+$B$6*(A79-$B$5+1)),$B$4))</f>
        <v>1</v>
      </c>
      <c r="C79" s="65" t="n">
        <f aca="false">C78*(1-B78)</f>
        <v>1.25079957370282E-006</v>
      </c>
      <c r="D79" s="71" t="n">
        <f aca="false">C79*B79</f>
        <v>1.25079957370282E-006</v>
      </c>
      <c r="E79" s="73" t="n">
        <f aca="false">A79*D79</f>
        <v>7.50479744221691E-005</v>
      </c>
      <c r="F79" s="65" t="n">
        <f aca="false">SUM($D$20:D79)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8"/>
    <col collapsed="false" customWidth="true" hidden="false" outlineLevel="0" max="6" min="5" style="0" width="29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9" min="9" style="0" width="19"/>
  </cols>
  <sheetData>
    <row r="1" customFormat="false" ht="15" hidden="false" customHeight="false" outlineLevel="0" collapsed="false">
      <c r="A1" s="44" t="s">
        <v>690</v>
      </c>
      <c r="B1" s="44" t="s">
        <v>263</v>
      </c>
      <c r="C1" s="44" t="s">
        <v>264</v>
      </c>
      <c r="D1" s="44" t="s">
        <v>689</v>
      </c>
      <c r="E1" s="44" t="s">
        <v>732</v>
      </c>
      <c r="F1" s="44" t="s">
        <v>733</v>
      </c>
      <c r="G1" s="44" t="s">
        <v>734</v>
      </c>
      <c r="H1" s="44" t="s">
        <v>735</v>
      </c>
      <c r="I1" s="44" t="s">
        <v>736</v>
      </c>
    </row>
    <row r="2" customFormat="false" ht="15" hidden="false" customHeight="false" outlineLevel="0" collapsed="false">
      <c r="A2" s="45" t="s">
        <v>216</v>
      </c>
      <c r="B2" s="45" t="s">
        <v>216</v>
      </c>
      <c r="C2" s="45" t="s">
        <v>216</v>
      </c>
      <c r="D2" s="45" t="s">
        <v>216</v>
      </c>
      <c r="E2" s="45" t="s">
        <v>737</v>
      </c>
      <c r="F2" s="45" t="s">
        <v>737</v>
      </c>
      <c r="G2" s="45" t="s">
        <v>269</v>
      </c>
      <c r="H2" s="45" t="s">
        <v>216</v>
      </c>
      <c r="I2" s="45" t="s">
        <v>216</v>
      </c>
    </row>
    <row r="3" customFormat="false" ht="27.75" hidden="false" customHeight="true" outlineLevel="0" collapsed="false">
      <c r="A3" s="47" t="s">
        <v>738</v>
      </c>
      <c r="B3" s="47" t="s">
        <v>130</v>
      </c>
      <c r="C3" s="47" t="s">
        <v>4</v>
      </c>
      <c r="D3" s="47" t="s">
        <v>44</v>
      </c>
      <c r="E3" s="47" t="s">
        <v>739</v>
      </c>
      <c r="F3" s="47" t="s">
        <v>740</v>
      </c>
      <c r="G3" s="47" t="s">
        <v>741</v>
      </c>
      <c r="H3" s="47" t="s">
        <v>742</v>
      </c>
      <c r="I3" s="47" t="s">
        <v>743</v>
      </c>
    </row>
    <row r="4" customFormat="false" ht="15" hidden="false" customHeight="false" outlineLevel="0" collapsed="false">
      <c r="A4" s="8" t="s">
        <v>701</v>
      </c>
      <c r="B4" s="6" t="s">
        <v>699</v>
      </c>
      <c r="C4" s="8" t="s">
        <v>744</v>
      </c>
      <c r="D4" s="8" t="s">
        <v>646</v>
      </c>
      <c r="E4" s="6"/>
      <c r="F4" s="6"/>
      <c r="G4" s="17" t="n">
        <v>259200</v>
      </c>
      <c r="H4" s="8" t="s">
        <v>745</v>
      </c>
      <c r="I4" s="6" t="s">
        <v>746</v>
      </c>
    </row>
  </sheetData>
  <autoFilter ref="A3:I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2026-10-10T08:06:42Z</dcterms:created>
  <dc:creator>openpyxl</dc:creator>
  <dc:description/>
  <dc:language>en-US</dc:language>
  <cp:lastModifiedBy/>
  <dcterms:modified xsi:type="dcterms:W3CDTF">2026-10-10T08:06:43Z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